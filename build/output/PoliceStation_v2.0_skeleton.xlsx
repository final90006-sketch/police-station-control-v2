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【工作】案件管制與自動化系統\派出所v2_v43_開發檔案\派出所v2_build\output\"/>
    </mc:Choice>
  </mc:AlternateContent>
  <xr:revisionPtr revIDLastSave="0" documentId="8_{FA5334FE-4F8D-452C-BC66-78A2BCD8F401}" xr6:coauthVersionLast="47" xr6:coauthVersionMax="47" xr10:uidLastSave="{00000000-0000-0000-0000-000000000000}"/>
  <bookViews>
    <workbookView xWindow="-108" yWindow="-108" windowWidth="23256" windowHeight="12456" xr2:uid="{2417E4C7-C776-4CFD-9E55-26735864B3CE}"/>
  </bookViews>
  <sheets>
    <sheet name="首頁_操作說明" sheetId="1" r:id="rId1"/>
    <sheet name="管制總覽" sheetId="2" r:id="rId2"/>
    <sheet name="全般刑案管制情形分析" sheetId="3" r:id="rId3"/>
    <sheet name="長官5分鐘報告" sheetId="4" r:id="rId4"/>
    <sheet name="對上級機關上呈" sheetId="5" r:id="rId5"/>
    <sheet name="案件資料庫" sheetId="6" r:id="rId6"/>
    <sheet name="刑案管制" sheetId="7" r:id="rId7"/>
    <sheet name="發展中案件管制" sheetId="8" r:id="rId8"/>
    <sheet name="毒品調驗人口管制" sheetId="9" r:id="rId9"/>
    <sheet name="交通績效管制" sheetId="10" r:id="rId10"/>
    <sheet name="交通取締明細" sheetId="11" r:id="rId11"/>
    <sheet name="績效統計" sheetId="12" r:id="rId12"/>
    <sheet name="員警個人績效卡" sheetId="13" r:id="rId13"/>
    <sheet name="跨期間趨勢分析" sheetId="14" r:id="rId14"/>
    <sheet name="設定表" sheetId="15" r:id="rId15"/>
    <sheet name="歷史資料" sheetId="16" r:id="rId16"/>
    <sheet name="系統檢核" sheetId="17" r:id="rId17"/>
  </sheets>
  <definedNames>
    <definedName name="今日">設定表!$F$2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5" l="1"/>
</calcChain>
</file>

<file path=xl/sharedStrings.xml><?xml version="1.0" encoding="utf-8"?>
<sst xmlns="http://schemas.openxmlformats.org/spreadsheetml/2006/main" count="18" uniqueCount="18">
  <si>
    <t>首頁_操作說明 ｜ v2 骨架（Phase 1）｜ 內容由後續 Phase 填入</t>
  </si>
  <si>
    <t>管制總覽 ｜ v2 骨架（Phase 1）｜ 內容由後續 Phase 填入</t>
  </si>
  <si>
    <t>全般刑案管制情形分析 ｜ v2 骨架（Phase 1）｜ 內容由後續 Phase 填入</t>
  </si>
  <si>
    <t>長官5分鐘報告 ｜ v2 骨架（Phase 1）｜ 內容由後續 Phase 填入</t>
  </si>
  <si>
    <t>對上級機關上呈 ｜ v2 骨架（Phase 1）｜ 內容由後續 Phase 填入</t>
  </si>
  <si>
    <t>案件資料庫 ｜ v2 骨架（Phase 1）｜ 內容由後續 Phase 填入</t>
  </si>
  <si>
    <t>刑案管制 ｜ v2 骨架（Phase 1）｜ 內容由後續 Phase 填入</t>
  </si>
  <si>
    <t>發展中案件管制 ｜ v2 骨架（Phase 1）｜ 內容由後續 Phase 填入</t>
  </si>
  <si>
    <t>毒品調驗人口管制 ｜ v2 骨架（Phase 1）｜ 內容由後續 Phase 填入</t>
  </si>
  <si>
    <t>交通績效管制 ｜ v2 骨架（Phase 1）｜ 內容由後續 Phase 填入</t>
  </si>
  <si>
    <t>交通取締明細 ｜ v2 骨架（Phase 1）｜ 內容由後續 Phase 填入</t>
  </si>
  <si>
    <t>績效統計 ｜ v2 骨架（Phase 1）｜ 內容由後續 Phase 填入</t>
  </si>
  <si>
    <t>員警個人績效卡 ｜ v2 骨架（Phase 1）｜ 內容由後續 Phase 填入</t>
  </si>
  <si>
    <t>跨期間趨勢分析 ｜ v2 骨架（Phase 1）｜ 內容由後續 Phase 填入</t>
  </si>
  <si>
    <t>設定表 ｜ v2 骨架（Phase 1）｜ 內容由後續 Phase 填入</t>
  </si>
  <si>
    <t>歷史資料 ｜ v2 骨架（Phase 1）｜ 內容由後續 Phase 填入</t>
  </si>
  <si>
    <t>系統檢核 ｜ v2 骨架（Phase 1）｜ 內容由後續 Phase 填入</t>
  </si>
  <si>
    <t>今日（公式集中，全 v2 引用）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</si>
</sst>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5" x14ac:knownFonts="1">
    <font>
      <sz val="12"/>
      <color theme="1"/>
      <name val="新細明體"/>
      <family val="2"/>
      <charset val="136"/>
      <scheme val="minor"/>
    </font>
    <font>
      <b/>
      <sz val="11"/>
      <color rgb="FF1F4E79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8E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76" fontId="3" fillId="2" borderId="0" xfId="0" applyNumberFormat="1" applyFon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B0AE1-24A2-4928-9098-2130D5B0E537}">
  <dimension ref="A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6384" width="8.88671875" style="2"/>
  </cols>
  <sheetData>
    <row r="1" spans="1:1" x14ac:dyDescent="0.3">
      <c r="A1" s="1" t="s">
        <v>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60EFA-D7EE-4673-B961-84CD666B74E5}">
  <dimension ref="A1"/>
  <sheetViews>
    <sheetView workbookViewId="0">
      <pane ySplit="7" topLeftCell="A8" activePane="bottomLeft" state="frozen"/>
      <selection pane="bottomLeft" activeCell="A8" sqref="A8"/>
    </sheetView>
  </sheetViews>
  <sheetFormatPr defaultRowHeight="14.4" x14ac:dyDescent="0.3"/>
  <cols>
    <col min="1" max="16384" width="8.88671875" style="2"/>
  </cols>
  <sheetData>
    <row r="1" spans="1:1" x14ac:dyDescent="0.3">
      <c r="A1" s="1" t="s">
        <v>1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E970E-E353-4B3D-9673-87FD6DA1C80C}">
  <dimension ref="A1"/>
  <sheetViews>
    <sheetView workbookViewId="0">
      <pane ySplit="7" topLeftCell="A8" activePane="bottomLeft" state="frozen"/>
      <selection pane="bottomLeft" activeCell="A8" sqref="A8"/>
    </sheetView>
  </sheetViews>
  <sheetFormatPr defaultRowHeight="14.4" x14ac:dyDescent="0.3"/>
  <cols>
    <col min="1" max="16384" width="8.88671875" style="2"/>
  </cols>
  <sheetData>
    <row r="1" spans="1:1" x14ac:dyDescent="0.3">
      <c r="A1" s="1" t="s">
        <v>2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EE8D2-E787-4F9D-860C-F80B7CEFD7DC}">
  <dimension ref="A1"/>
  <sheetViews>
    <sheetView workbookViewId="0">
      <pane ySplit="5" topLeftCell="A6" activePane="bottomLeft" state="frozen"/>
      <selection pane="bottomLeft" activeCell="A6" sqref="A6"/>
    </sheetView>
  </sheetViews>
  <sheetFormatPr defaultRowHeight="14.4" x14ac:dyDescent="0.3"/>
  <cols>
    <col min="1" max="16384" width="8.88671875" style="2"/>
  </cols>
  <sheetData>
    <row r="1" spans="1:1" x14ac:dyDescent="0.3">
      <c r="A1" s="1" t="s">
        <v>3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07E81-5B92-47A2-AF7F-16B946FE438C}">
  <dimension ref="A1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6384" width="8.88671875" style="2"/>
  </cols>
  <sheetData>
    <row r="1" spans="1:1" x14ac:dyDescent="0.3">
      <c r="A1" s="1" t="s">
        <v>4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7F523-BB64-475E-80E9-2EB041FBAF32}">
  <dimension ref="A1"/>
  <sheetViews>
    <sheetView workbookViewId="0">
      <pane ySplit="13" topLeftCell="A14" activePane="bottomLeft" state="frozen"/>
      <selection pane="bottomLeft" activeCell="A14" sqref="A14"/>
    </sheetView>
  </sheetViews>
  <sheetFormatPr defaultRowHeight="14.4" x14ac:dyDescent="0.3"/>
  <cols>
    <col min="1" max="16384" width="8.88671875" style="2"/>
  </cols>
  <sheetData>
    <row r="1" spans="1:1" x14ac:dyDescent="0.3">
      <c r="A1" s="1" t="s">
        <v>5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F96B3-EF3F-4111-9013-A4FF74734F2B}">
  <dimension ref="A1"/>
  <sheetViews>
    <sheetView workbookViewId="0">
      <pane ySplit="7" topLeftCell="A8" activePane="bottomLeft" state="frozen"/>
      <selection pane="bottomLeft" activeCell="A8" sqref="A8"/>
    </sheetView>
  </sheetViews>
  <sheetFormatPr defaultRowHeight="14.4" x14ac:dyDescent="0.3"/>
  <cols>
    <col min="1" max="16384" width="8.88671875" style="2"/>
  </cols>
  <sheetData>
    <row r="1" spans="1:1" x14ac:dyDescent="0.3">
      <c r="A1" s="1" t="s">
        <v>6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F8E50-286C-49B1-B22C-EBB7C88112D5}">
  <dimension ref="A1"/>
  <sheetViews>
    <sheetView workbookViewId="0">
      <pane ySplit="11" topLeftCell="A12" activePane="bottomLeft" state="frozen"/>
      <selection pane="bottomLeft" activeCell="A12" sqref="A12"/>
    </sheetView>
  </sheetViews>
  <sheetFormatPr defaultRowHeight="14.4" x14ac:dyDescent="0.3"/>
  <cols>
    <col min="1" max="16384" width="8.88671875" style="2"/>
  </cols>
  <sheetData>
    <row r="1" spans="1:1" x14ac:dyDescent="0.3">
      <c r="A1" s="1" t="s">
        <v>7</v>
      </c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4D20F-A4A0-4F3F-8C67-FE90C73B9006}">
  <dimension ref="A1"/>
  <sheetViews>
    <sheetView workbookViewId="0">
      <pane ySplit="13" topLeftCell="A14" activePane="bottomLeft" state="frozen"/>
      <selection pane="bottomLeft" activeCell="A14" sqref="A14"/>
    </sheetView>
  </sheetViews>
  <sheetFormatPr defaultRowHeight="14.4" x14ac:dyDescent="0.3"/>
  <cols>
    <col min="1" max="16384" width="8.88671875" style="2"/>
  </cols>
  <sheetData>
    <row r="1" spans="1:1" x14ac:dyDescent="0.3">
      <c r="A1" s="1" t="s">
        <v>8</v>
      </c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884B1-3A32-4605-B06A-E716FFB3F52D}">
  <dimension ref="A1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6384" width="8.88671875" style="2"/>
  </cols>
  <sheetData>
    <row r="1" spans="1:1" x14ac:dyDescent="0.3">
      <c r="A1" s="1" t="s">
        <v>9</v>
      </c>
    </row>
  </sheetData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F4A12-A92D-4F53-B40B-8C3EED8B23F7}">
  <dimension ref="A1"/>
  <sheetViews>
    <sheetView workbookViewId="0">
      <pane ySplit="13" topLeftCell="A14" activePane="bottomLeft" state="frozen"/>
      <selection pane="bottomLeft" activeCell="A14" sqref="A14"/>
    </sheetView>
  </sheetViews>
  <sheetFormatPr defaultRowHeight="14.4" x14ac:dyDescent="0.3"/>
  <cols>
    <col min="1" max="16384" width="8.88671875" style="2"/>
  </cols>
  <sheetData>
    <row r="1" spans="1:1" x14ac:dyDescent="0.3">
      <c r="A1" s="1" t="s">
        <v>10</v>
      </c>
    </row>
  </sheetData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32C5-8C27-420B-A833-0A63199A0407}">
  <dimension ref="A1"/>
  <sheetViews>
    <sheetView workbookViewId="0">
      <pane ySplit="7" topLeftCell="A8" activePane="bottomLeft" state="frozen"/>
      <selection pane="bottomLeft" activeCell="A8" sqref="A8"/>
    </sheetView>
  </sheetViews>
  <sheetFormatPr defaultRowHeight="14.4" x14ac:dyDescent="0.3"/>
  <cols>
    <col min="1" max="16384" width="8.88671875" style="2"/>
  </cols>
  <sheetData>
    <row r="1" spans="1:1" x14ac:dyDescent="0.3">
      <c r="A1" s="1" t="s">
        <v>11</v>
      </c>
    </row>
  </sheetData>
  <phoneticPr fontId="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1587C-9D50-4CBF-A0D2-3354317287B3}">
  <dimension ref="A1"/>
  <sheetViews>
    <sheetView workbookViewId="0">
      <pane ySplit="7" topLeftCell="A8" activePane="bottomLeft" state="frozen"/>
      <selection pane="bottomLeft" activeCell="A8" sqref="A8"/>
    </sheetView>
  </sheetViews>
  <sheetFormatPr defaultRowHeight="14.4" x14ac:dyDescent="0.3"/>
  <cols>
    <col min="1" max="16384" width="8.88671875" style="2"/>
  </cols>
  <sheetData>
    <row r="1" spans="1:1" x14ac:dyDescent="0.3">
      <c r="A1" s="1" t="s">
        <v>12</v>
      </c>
    </row>
  </sheetData>
  <phoneticPr fontId="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82918-2255-4A1B-B204-911A12504853}">
  <dimension ref="A1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6384" width="8.88671875" style="2"/>
  </cols>
  <sheetData>
    <row r="1" spans="1:1" x14ac:dyDescent="0.3">
      <c r="A1" s="1" t="s">
        <v>13</v>
      </c>
    </row>
  </sheetData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13B5B-86E6-47DC-B75D-73B0CFA407C1}">
  <dimension ref="A1:F2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5" width="8.88671875" style="2"/>
    <col min="6" max="6" width="12.44140625" style="2" bestFit="1" customWidth="1"/>
    <col min="7" max="16384" width="8.88671875" style="2"/>
  </cols>
  <sheetData>
    <row r="1" spans="1:6" x14ac:dyDescent="0.3">
      <c r="A1" s="1" t="s">
        <v>14</v>
      </c>
    </row>
    <row r="2" spans="1:6" x14ac:dyDescent="0.3">
      <c r="E2" s="3" t="s">
        <v>17</v>
      </c>
      <c r="F2" s="4">
        <f ca="1">TODAY()</f>
        <v>46167</v>
      </c>
    </row>
  </sheetData>
  <phoneticPr fontId="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6ECDB-F040-485A-A3CE-03F46E5FC86F}">
  <dimension ref="A1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6384" width="8.88671875" style="2"/>
  </cols>
  <sheetData>
    <row r="1" spans="1:1" x14ac:dyDescent="0.3">
      <c r="A1" s="1" t="s">
        <v>15</v>
      </c>
    </row>
  </sheetData>
  <phoneticPr fontId="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C4049-2447-48F7-90B9-66C671C4259A}">
  <dimension ref="A1"/>
  <sheetViews>
    <sheetView workbookViewId="0">
      <pane ySplit="5" topLeftCell="A6" activePane="bottomLeft" state="frozen"/>
      <selection pane="bottomLeft" activeCell="A6" sqref="A6"/>
    </sheetView>
  </sheetViews>
  <sheetFormatPr defaultRowHeight="14.4" x14ac:dyDescent="0.3"/>
  <cols>
    <col min="1" max="16384" width="8.88671875" style="2"/>
  </cols>
  <sheetData>
    <row r="1" spans="1:1" x14ac:dyDescent="0.3">
      <c r="A1" s="1" t="s">
        <v>16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具名範圍</vt:lpstr>
      </vt:variant>
      <vt:variant>
        <vt:i4>1</vt:i4>
      </vt:variant>
    </vt:vector>
  </HeadingPairs>
  <TitlesOfParts>
    <vt:vector size="18" baseType="lpstr">
      <vt:lpstr>首頁_操作說明</vt:lpstr>
      <vt:lpstr>管制總覽</vt:lpstr>
      <vt:lpstr>全般刑案管制情形分析</vt:lpstr>
      <vt:lpstr>長官5分鐘報告</vt:lpstr>
      <vt:lpstr>對上級機關上呈</vt:lpstr>
      <vt:lpstr>案件資料庫</vt:lpstr>
      <vt:lpstr>刑案管制</vt:lpstr>
      <vt:lpstr>發展中案件管制</vt:lpstr>
      <vt:lpstr>毒品調驗人口管制</vt:lpstr>
      <vt:lpstr>交通績效管制</vt:lpstr>
      <vt:lpstr>交通取締明細</vt:lpstr>
      <vt:lpstr>績效統計</vt:lpstr>
      <vt:lpstr>員警個人績效卡</vt:lpstr>
      <vt:lpstr>跨期間趨勢分析</vt:lpstr>
      <vt:lpstr>設定表</vt:lpstr>
      <vt:lpstr>歷史資料</vt:lpstr>
      <vt:lpstr>系統檢核</vt:lpstr>
      <vt:lpstr>今日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錦瑞 林</dc:creator>
  <cp:lastModifiedBy>錦瑞 林</cp:lastModifiedBy>
  <dcterms:created xsi:type="dcterms:W3CDTF">2026-05-25T02:04:25Z</dcterms:created>
  <dcterms:modified xsi:type="dcterms:W3CDTF">2026-05-25T02:04:27Z</dcterms:modified>
</cp:coreProperties>
</file>