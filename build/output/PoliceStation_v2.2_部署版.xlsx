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4" autoFilterDateGrouping="1"/>
  </bookViews>
  <sheets>
    <sheet name="首頁_操作說明" sheetId="1" state="visible" r:id="rId1"/>
    <sheet name="管制總覽" sheetId="2" state="visible" r:id="rId2"/>
    <sheet name="全般刑案管制情形分析" sheetId="3" state="visible" r:id="rId3"/>
    <sheet name="長官5分鐘報告" sheetId="4" state="visible" r:id="rId4"/>
    <sheet name="對上級機關上呈" sheetId="5" state="visible" r:id="rId5"/>
    <sheet name="案件資料庫" sheetId="6" state="visible" r:id="rId6"/>
    <sheet name="刑案管制" sheetId="7" state="visible" r:id="rId7"/>
    <sheet name="發展中案件管制" sheetId="8" state="visible" r:id="rId8"/>
    <sheet name="毒品調驗人口管制" sheetId="9" state="visible" r:id="rId9"/>
    <sheet name="交通績效管制" sheetId="10" state="visible" r:id="rId10"/>
    <sheet name="交通取締明細" sheetId="11" state="visible" r:id="rId11"/>
    <sheet name="績效統計" sheetId="12" state="visible" r:id="rId12"/>
    <sheet name="員警個人績效卡" sheetId="13" state="visible" r:id="rId13"/>
    <sheet name="跨期間趨勢分析" sheetId="14" state="visible" r:id="rId14"/>
    <sheet name="設定表" sheetId="15" state="visible" r:id="rId15"/>
    <sheet name="歷史資料" sheetId="16" state="visible" r:id="rId16"/>
    <sheet name="系統檢核" sheetId="17" state="visible" r:id="rId17"/>
  </sheets>
  <definedNames>
    <definedName name="今日">設定表!$B$4</definedName>
    <definedName name="警察局名稱">設定表!$B$16</definedName>
    <definedName name="分局名稱">設定表!$B$17</definedName>
    <definedName name="派出所名稱">設定表!$B$18</definedName>
    <definedName name="派出所英文">設定表!$B$19</definedName>
    <definedName name="員警姓名清單">設定表!$B$24:$B$83</definedName>
    <definedName name="毒調率目標">設定表!$B$87</definedName>
    <definedName name="新進閾值">設定表!$B$88</definedName>
    <definedName name="老案閾值">設定表!$B$89</definedName>
    <definedName name="案件容量警示">設定表!$B$90</definedName>
    <definedName name="案件容量上限">設定表!$B$91</definedName>
    <definedName name="毒調逾期天數">設定表!$B$92</definedName>
    <definedName name="歷史保留月數">設定表!$B$93</definedName>
    <definedName name="案類代碼清單">設定表!$A$98:$A$158</definedName>
    <definedName name="案類名稱清單">設定表!$B$98:$B$158</definedName>
    <definedName name="案類分類清單">設定表!$C$98:$C$158</definedName>
    <definedName name="納入全般清單">設定表!$D$98:$D$158</definedName>
    <definedName name="違規項目清單">設定表!$A$168:$A$177</definedName>
    <definedName name="婦幼件數">設定表!$B$181</definedName>
    <definedName name="協尋件數">設定表!$B$182</definedName>
    <definedName name="偵辦進度清單">設定表!$A$189:$A$192</definedName>
    <definedName name="案件狀況清單">設定表!$A$195:$A$198</definedName>
    <definedName name="發生管轄清單">設定表!$A$201:$A$202</definedName>
    <definedName name="查獲管轄清單">設定表!$A$205:$A$206</definedName>
    <definedName name="性別清單">設定表!$A$209:$A$210</definedName>
    <definedName name="通緝清單">設定表!$A$213:$A$214</definedName>
    <definedName name="毒品管制情形清單">設定表!$A$217:$A$222</definedName>
    <definedName name="發展中進度清單">設定表!$A$225:$A$227</definedName>
    <definedName name="是否在職清單">設定表!$A$230:$A$231</definedName>
    <definedName name="績效類別清單">設定表!$A$234:$A$236</definedName>
    <definedName name="線索來源清單">設定表!$A$239:$A$244</definedName>
    <definedName name="重大性清單">設定表!$A$247:$A$249</definedName>
    <definedName name="_xlnm.Print_Area" localSheetId="2">'全般刑案管制情形分析'!$A$1:$H$32</definedName>
    <definedName name="_xlnm.Print_Area" localSheetId="3">'長官5分鐘報告'!$A$1:$H$36</definedName>
    <definedName name="_xlnm.Print_Area" localSheetId="4">'對上級機關上呈'!$A$1:$H$28</definedName>
    <definedName name="_xlnm.Print_Area" localSheetId="12">'員警個人績效卡'!$A$1:$H$50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[$-zh-TW]e/mm/dd"/>
    <numFmt numFmtId="165" formatCode="0.0%"/>
    <numFmt numFmtId="166" formatCode="yyyy/mm/dd h&quot;時&quot;"/>
    <numFmt numFmtId="167" formatCode="yyyy/mm/dd"/>
    <numFmt numFmtId="168" formatCode="0.0000"/>
    <numFmt numFmtId="169" formatCode="0.0"/>
    <numFmt numFmtId="170" formatCode="+0.0;-0.0;0.0"/>
    <numFmt numFmtId="171" formatCode="+0.0%;-0.0%;0.0%"/>
  </numFmts>
  <fonts count="80">
    <font>
      <name val="Calibri"/>
      <family val="2"/>
      <color theme="1"/>
      <sz val="11"/>
      <scheme val="minor"/>
    </font>
    <font>
      <name val="微軟正黑體"/>
      <b val="1"/>
      <color rgb="FFFFFFFF"/>
      <sz val="18"/>
    </font>
    <font>
      <name val="微軟正黑體"/>
      <i val="1"/>
      <color rgb="FFFFFFFF"/>
      <sz val="11"/>
    </font>
    <font>
      <name val="微軟正黑體"/>
      <b val="1"/>
      <color rgb="FF1F4E79"/>
      <sz val="13"/>
    </font>
    <font>
      <name val="微軟正黑體"/>
      <b val="1"/>
      <color rgb="FF1F4E79"/>
      <sz val="18"/>
    </font>
    <font>
      <name val="微軟正黑體"/>
      <i val="1"/>
      <color rgb="FF64748B"/>
      <sz val="10"/>
    </font>
    <font>
      <name val="微軟正黑體"/>
      <b val="1"/>
      <color rgb="FFFFFFFF"/>
      <sz val="13"/>
    </font>
    <font>
      <name val="微軟正黑體"/>
      <b val="1"/>
      <color rgb="FF1E293B"/>
      <sz val="12"/>
    </font>
    <font>
      <name val="微軟正黑體"/>
      <color rgb="FF1E293B"/>
      <sz val="12"/>
    </font>
    <font>
      <name val="微軟正黑體"/>
      <color rgb="FF64748B"/>
      <sz val="10"/>
    </font>
    <font>
      <name val="微軟正黑體"/>
      <i val="1"/>
      <color rgb="FFB45309"/>
      <sz val="11"/>
    </font>
    <font>
      <name val="微軟正黑體"/>
      <color rgb="FFB91C1C"/>
      <sz val="10"/>
    </font>
    <font>
      <name val="微軟正黑體"/>
      <b val="1"/>
      <color rgb="FFFFFFFF"/>
      <sz val="15"/>
    </font>
    <font>
      <name val="微軟正黑體"/>
      <b val="1"/>
      <color rgb="FFB45309"/>
      <sz val="11"/>
    </font>
    <font>
      <name val="微軟正黑體"/>
      <b val="1"/>
      <color rgb="FF1E293B"/>
      <sz val="13"/>
    </font>
    <font>
      <name val="微軟正黑體"/>
      <b val="1"/>
      <color rgb="FFFFFFFF"/>
      <sz val="24"/>
    </font>
    <font>
      <name val="微軟正黑體"/>
      <b val="1"/>
      <color rgb="FF1F4E79"/>
      <sz val="14"/>
    </font>
    <font>
      <name val="微軟正黑體"/>
      <i val="1"/>
      <color rgb="FF64748B"/>
      <sz val="11"/>
    </font>
    <font>
      <name val="微軟正黑體"/>
      <b val="1"/>
      <color rgb="FF15803D"/>
      <sz val="12"/>
    </font>
    <font>
      <name val="微軟正黑體"/>
      <b val="1"/>
      <color rgb="FF15803D"/>
      <sz val="20"/>
    </font>
    <font>
      <name val="微軟正黑體"/>
      <b val="1"/>
      <color rgb="FFB45309"/>
      <sz val="12"/>
    </font>
    <font>
      <name val="微軟正黑體"/>
      <b val="1"/>
      <color rgb="FFB45309"/>
      <sz val="20"/>
    </font>
    <font>
      <name val="微軟正黑體"/>
      <b val="1"/>
      <color rgb="FFB91C1C"/>
      <sz val="12"/>
    </font>
    <font>
      <name val="微軟正黑體"/>
      <b val="1"/>
      <color rgb="FFB91C1C"/>
      <sz val="20"/>
    </font>
    <font>
      <name val="微軟正黑體"/>
      <b val="1"/>
      <color rgb="FFFFFFFF"/>
      <sz val="11"/>
    </font>
    <font>
      <name val="微軟正黑體"/>
      <b val="1"/>
      <color rgb="FF64748B"/>
      <sz val="11"/>
    </font>
    <font>
      <name val="微軟正黑體"/>
      <b val="1"/>
      <color rgb="FF1F4E79"/>
      <sz val="32"/>
    </font>
    <font>
      <name val="微軟正黑體"/>
      <i val="1"/>
      <color rgb="FF64748B"/>
      <sz val="9"/>
    </font>
    <font>
      <name val="Consolas"/>
      <b val="1"/>
      <color rgb="FF1F4E79"/>
      <sz val="16"/>
    </font>
    <font>
      <name val="微軟正黑體"/>
      <b val="1"/>
      <color rgb="FFB91C1C"/>
      <sz val="11"/>
    </font>
    <font>
      <name val="微軟正黑體"/>
      <b val="1"/>
      <color rgb="FFB91C1C"/>
      <sz val="28"/>
    </font>
    <font>
      <name val="微軟正黑體"/>
      <color rgb="FF64748B"/>
      <sz val="9"/>
    </font>
    <font>
      <name val="微軟正黑體"/>
      <b val="1"/>
      <color rgb="FFB45309"/>
      <sz val="28"/>
    </font>
    <font>
      <name val="微軟正黑體"/>
      <b val="1"/>
      <color rgb="FF15803D"/>
      <sz val="11"/>
    </font>
    <font>
      <name val="微軟正黑體"/>
      <b val="1"/>
      <color rgb="FF15803D"/>
      <sz val="28"/>
    </font>
    <font>
      <name val="Consolas"/>
      <color rgb="FF1F4E79"/>
      <sz val="11"/>
    </font>
    <font>
      <name val="微軟正黑體"/>
      <b val="1"/>
      <color rgb="FFFFFFFF"/>
      <sz val="20"/>
    </font>
    <font>
      <name val="微軟正黑體"/>
      <b val="1"/>
      <color rgb="FF1F4E79"/>
      <sz val="11"/>
    </font>
    <font>
      <name val="微軟正黑體"/>
      <b val="1"/>
      <color rgb="FF1F4E79"/>
      <sz val="30"/>
    </font>
    <font>
      <name val="微軟正黑體"/>
      <b val="1"/>
      <color rgb="FFB45309"/>
      <sz val="30"/>
    </font>
    <font>
      <name val="微軟正黑體"/>
      <b val="1"/>
      <color rgb="FF15803D"/>
      <sz val="30"/>
    </font>
    <font>
      <name val="Consolas"/>
      <b val="1"/>
      <color rgb="FF1F4E79"/>
      <sz val="13"/>
    </font>
    <font>
      <name val="Consolas"/>
      <b val="1"/>
      <color rgb="FFB45309"/>
      <sz val="13"/>
    </font>
    <font>
      <name val="微軟正黑體"/>
      <i val="1"/>
      <color rgb="FF1F4E79"/>
      <sz val="11"/>
    </font>
    <font>
      <name val="微軟正黑體"/>
      <b val="1"/>
      <color rgb="FF15803D"/>
      <sz val="13"/>
    </font>
    <font>
      <name val="微軟正黑體"/>
      <b val="1"/>
      <color rgb="FFFFFFFF"/>
      <sz val="12"/>
    </font>
    <font>
      <name val="微軟正黑體"/>
      <i val="1"/>
      <color rgb="FFFFFFFF"/>
      <sz val="10"/>
    </font>
    <font>
      <name val="微軟正黑體"/>
      <b val="1"/>
      <color rgb="FFB91C1C"/>
      <sz val="14"/>
    </font>
    <font>
      <name val="微軟正黑體"/>
      <b val="1"/>
      <color rgb="FF64748B"/>
      <sz val="14"/>
    </font>
    <font>
      <name val="微軟正黑體"/>
      <b val="1"/>
      <color rgb="FFB45309"/>
      <sz val="14"/>
    </font>
    <font>
      <name val="微軟正黑體"/>
      <b val="1"/>
      <color rgb="FFB91C1C"/>
      <sz val="16"/>
    </font>
    <font>
      <name val="微軟正黑體"/>
      <b val="1"/>
      <color rgb="FFB45309"/>
      <sz val="16"/>
    </font>
    <font>
      <name val="微軟正黑體"/>
      <b val="1"/>
      <color rgb="FF64748B"/>
      <sz val="16"/>
    </font>
    <font>
      <name val="微軟正黑體"/>
      <b val="1"/>
      <color rgb="FF1F4E79"/>
      <sz val="26"/>
    </font>
    <font>
      <name val="微軟正黑體"/>
      <b val="1"/>
      <color rgb="FF15803D"/>
      <sz val="26"/>
    </font>
    <font>
      <name val="微軟正黑體"/>
      <b val="1"/>
      <color rgb="FFB91C1C"/>
      <sz val="26"/>
    </font>
    <font>
      <name val="微軟正黑體"/>
      <b val="1"/>
      <color rgb="FFB45309"/>
      <sz val="26"/>
    </font>
    <font>
      <name val="微軟正黑體"/>
      <b val="1"/>
      <color rgb="FF1F4E79"/>
      <sz val="20"/>
    </font>
    <font>
      <name val="Consolas"/>
      <b val="1"/>
      <color rgb="FF1F4E79"/>
      <sz val="14"/>
    </font>
    <font>
      <name val="微軟正黑體"/>
      <color rgb="FFB91C1C"/>
      <sz val="11"/>
    </font>
    <font>
      <name val="微軟正黑體"/>
      <color rgb="FF15803D"/>
      <sz val="11"/>
    </font>
    <font>
      <name val="微軟正黑體"/>
      <b val="1"/>
      <color rgb="FF15803D"/>
      <sz val="24"/>
    </font>
    <font>
      <name val="微軟正黑體"/>
      <color rgb="FFB45309"/>
      <sz val="11"/>
    </font>
    <font>
      <name val="微軟正黑體"/>
      <b val="1"/>
      <color rgb="FFB45309"/>
      <sz val="24"/>
    </font>
    <font>
      <name val="微軟正黑體"/>
      <color rgb="FF1F4E79"/>
      <sz val="11"/>
    </font>
    <font>
      <name val="微軟正黑體"/>
      <b val="1"/>
      <color rgb="FF1F4E79"/>
      <sz val="24"/>
    </font>
    <font>
      <name val="微軟正黑體"/>
      <color rgb="FF64748B"/>
      <sz val="11"/>
    </font>
    <font>
      <name val="微軟正黑體"/>
      <b val="1"/>
      <color rgb="FF1F4E79"/>
      <sz val="12"/>
    </font>
    <font>
      <name val="微軟正黑體"/>
      <b val="1"/>
      <color rgb="FF1F4E79"/>
      <sz val="28"/>
    </font>
    <font>
      <name val="微軟正黑體"/>
      <b val="1"/>
      <color rgb="FF14253D"/>
      <sz val="11"/>
    </font>
    <font>
      <name val="微軟正黑體"/>
      <b val="1"/>
      <color rgb="FF14253D"/>
      <sz val="28"/>
    </font>
    <font>
      <name val="微軟正黑體"/>
      <color rgb="FF1E293B"/>
      <sz val="11"/>
    </font>
    <font>
      <name val="微軟正黑體"/>
      <b val="1"/>
      <color rgb="FFB45309"/>
      <sz val="13"/>
    </font>
    <font>
      <name val="微軟正黑體"/>
      <b val="1"/>
      <color rgb="FF1F4E79"/>
      <sz val="15"/>
    </font>
    <font>
      <name val="微軟正黑體"/>
      <b val="1"/>
      <color rgb="FFFFFFFF"/>
      <sz val="14"/>
    </font>
    <font>
      <name val="微軟正黑體"/>
      <b val="1"/>
      <color rgb="FF1F4E79"/>
      <sz val="16"/>
    </font>
    <font>
      <name val="微軟正黑體"/>
      <b val="1"/>
      <color rgb="FFB91C1C"/>
      <sz val="32"/>
    </font>
    <font>
      <name val="微軟正黑體"/>
      <b val="1"/>
      <color rgb="FFB45309"/>
      <sz val="32"/>
    </font>
    <font>
      <name val="微軟正黑體"/>
      <b val="1"/>
      <color rgb="FF15803D"/>
      <sz val="32"/>
    </font>
    <font>
      <name val="微軟正黑體"/>
      <b val="1"/>
      <color rgb="FF64748B"/>
      <sz val="20"/>
    </font>
  </fonts>
  <fills count="13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4253D"/>
      </patternFill>
    </fill>
    <fill>
      <patternFill patternType="solid">
        <fgColor rgb="FFDBEAFE"/>
      </patternFill>
    </fill>
    <fill>
      <patternFill patternType="solid">
        <fgColor rgb="FFFFF8E1"/>
      </patternFill>
    </fill>
    <fill>
      <patternFill patternType="solid">
        <fgColor rgb="FFF1F5F9"/>
      </patternFill>
    </fill>
    <fill>
      <patternFill patternType="solid">
        <fgColor rgb="FFF1EFE8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B91C1C"/>
      </patternFill>
    </fill>
    <fill>
      <patternFill patternType="solid">
        <fgColor rgb="FFB45309"/>
      </patternFill>
    </fill>
  </fills>
  <borders count="19">
    <border>
      <left/>
      <right/>
      <top/>
      <bottom/>
      <diagonal/>
    </border>
    <border>
      <bottom style="thick">
        <color rgb="FF1F4E7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/>
      <bottom style="thick">
        <color rgb="FF1F4E79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bottom style="medium">
        <color rgb="FF1F4E79"/>
      </bottom>
    </border>
    <border>
      <right/>
      <bottom style="thick">
        <color rgb="FF1F4E79"/>
      </bottom>
    </border>
    <border>
      <left/>
      <right/>
      <top/>
      <bottom style="medium">
        <color rgb="FF1F4E79"/>
      </bottom>
      <diagonal/>
    </border>
    <border>
      <right/>
      <bottom style="medium">
        <color rgb="FF1F4E79"/>
      </bottom>
    </border>
    <border>
      <top style="thin">
        <color rgb="FFE2E8F0"/>
      </top>
      <bottom style="thin">
        <color rgb="FFE2E8F0"/>
      </bottom>
    </border>
    <border>
      <right/>
      <top style="thin">
        <color rgb="FFE2E8F0"/>
      </top>
      <bottom style="thin">
        <color rgb="FFE2E8F0"/>
      </bottom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right" vertical="center" wrapText="1"/>
    </xf>
    <xf numFmtId="164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2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165" fontId="7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3" fontId="8" fillId="5" borderId="2" applyAlignment="1" pivotButton="0" quotePrefix="0" xfId="0">
      <alignment horizontal="center" vertical="center" wrapText="1"/>
    </xf>
    <xf numFmtId="3" fontId="7" fillId="5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4" borderId="8" applyAlignment="1" pivotButton="0" quotePrefix="0" xfId="0">
      <alignment horizontal="left" vertical="center" wrapText="1"/>
    </xf>
    <xf numFmtId="0" fontId="1" fillId="2" borderId="9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166" fontId="8" fillId="5" borderId="2" applyAlignment="1" pivotButton="0" quotePrefix="0" xfId="0">
      <alignment horizontal="center" vertical="center" wrapText="1"/>
    </xf>
    <xf numFmtId="167" fontId="8" fillId="5" borderId="2" applyAlignment="1" pivotButton="0" quotePrefix="0" xfId="0">
      <alignment horizontal="center" vertical="center" wrapText="1"/>
    </xf>
    <xf numFmtId="166" fontId="0" fillId="5" borderId="2" pivotButton="0" quotePrefix="0" xfId="0"/>
    <xf numFmtId="3" fontId="0" fillId="5" borderId="2" pivotButton="0" quotePrefix="0" xfId="0"/>
    <xf numFmtId="167" fontId="0" fillId="5" borderId="2" pivotButton="0" quotePrefix="0" xfId="0"/>
    <xf numFmtId="0" fontId="0" fillId="0" borderId="10" pivotButton="0" quotePrefix="0" xfId="0"/>
    <xf numFmtId="165" fontId="8" fillId="5" borderId="2" applyAlignment="1" pivotButton="0" quotePrefix="0" xfId="0">
      <alignment horizontal="center" vertical="center" wrapText="1"/>
    </xf>
    <xf numFmtId="165" fontId="0" fillId="5" borderId="2" pivotButton="0" quotePrefix="0" xfId="0"/>
    <xf numFmtId="0" fontId="13" fillId="8" borderId="0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166" fontId="8" fillId="5" borderId="2" applyAlignment="1" pivotButton="0" quotePrefix="0" xfId="0">
      <alignment horizontal="center" vertical="center" wrapText="1"/>
    </xf>
    <xf numFmtId="167" fontId="8" fillId="5" borderId="2" applyAlignment="1" pivotButton="0" quotePrefix="0" xfId="0">
      <alignment horizontal="center" vertical="center" wrapText="1"/>
    </xf>
    <xf numFmtId="166" fontId="0" fillId="5" borderId="2" pivotButton="0" quotePrefix="0" xfId="0"/>
    <xf numFmtId="167" fontId="0" fillId="5" borderId="2" pivotButton="0" quotePrefix="0" xfId="0"/>
    <xf numFmtId="0" fontId="18" fillId="10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8" borderId="2" applyAlignment="1" pivotButton="0" quotePrefix="0" xfId="0">
      <alignment horizontal="left" vertical="center" wrapText="1"/>
    </xf>
    <xf numFmtId="0" fontId="21" fillId="8" borderId="2" applyAlignment="1" pivotButton="0" quotePrefix="0" xfId="0">
      <alignment horizontal="center" vertical="center" wrapText="1"/>
    </xf>
    <xf numFmtId="0" fontId="22" fillId="9" borderId="2" applyAlignment="1" pivotButton="0" quotePrefix="0" xfId="0">
      <alignment horizontal="left" vertical="center" wrapText="1"/>
    </xf>
    <xf numFmtId="0" fontId="23" fillId="9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24" fillId="2" borderId="2" applyAlignment="1" pivotButton="0" quotePrefix="0" xfId="0">
      <alignment horizontal="center" vertical="center" wrapText="1"/>
    </xf>
    <xf numFmtId="0" fontId="20" fillId="7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24" fillId="11" borderId="2" applyAlignment="1" pivotButton="0" quotePrefix="0" xfId="0">
      <alignment horizontal="center" vertical="center" wrapText="1"/>
    </xf>
    <xf numFmtId="0" fontId="22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2" borderId="9" applyAlignment="1" pivotButton="0" quotePrefix="0" xfId="0">
      <alignment horizontal="left" vertical="center" wrapText="1"/>
    </xf>
    <xf numFmtId="0" fontId="12" fillId="4" borderId="11" applyAlignment="1" pivotButton="0" quotePrefix="0" xfId="0">
      <alignment horizontal="left" vertical="center" wrapText="1"/>
    </xf>
    <xf numFmtId="0" fontId="25" fillId="7" borderId="12" applyAlignment="1" pivotButton="0" quotePrefix="0" xfId="0">
      <alignment horizontal="left" vertical="center" wrapText="1"/>
    </xf>
    <xf numFmtId="0" fontId="3" fillId="7" borderId="12" applyAlignment="1" pivotButton="0" quotePrefix="0" xfId="0">
      <alignment horizontal="center" vertical="center" wrapText="1"/>
    </xf>
    <xf numFmtId="165" fontId="26" fillId="0" borderId="0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center" vertical="center" wrapText="1"/>
    </xf>
    <xf numFmtId="3" fontId="26" fillId="0" borderId="0" applyAlignment="1" pivotButton="0" quotePrefix="0" xfId="0">
      <alignment horizontal="center" vertical="center" wrapText="1"/>
    </xf>
    <xf numFmtId="0" fontId="29" fillId="9" borderId="12" applyAlignment="1" pivotButton="0" quotePrefix="0" xfId="0">
      <alignment horizontal="left" vertical="center" wrapText="1"/>
    </xf>
    <xf numFmtId="0" fontId="13" fillId="8" borderId="12" applyAlignment="1" pivotButton="0" quotePrefix="0" xfId="0">
      <alignment horizontal="left" vertical="center" wrapText="1"/>
    </xf>
    <xf numFmtId="0" fontId="33" fillId="10" borderId="12" applyAlignment="1" pivotButton="0" quotePrefix="0" xfId="0">
      <alignment horizontal="left" vertical="center" wrapText="1"/>
    </xf>
    <xf numFmtId="3" fontId="30" fillId="9" borderId="0" applyAlignment="1" pivotButton="0" quotePrefix="0" xfId="0">
      <alignment horizontal="center" vertical="center" wrapText="1"/>
    </xf>
    <xf numFmtId="3" fontId="32" fillId="8" borderId="0" applyAlignment="1" pivotButton="0" quotePrefix="0" xfId="0">
      <alignment horizontal="center" vertical="center" wrapText="1"/>
    </xf>
    <xf numFmtId="3" fontId="34" fillId="10" borderId="0" applyAlignment="1" pivotButton="0" quotePrefix="0" xfId="0">
      <alignment horizontal="center" vertical="center" wrapText="1"/>
    </xf>
    <xf numFmtId="0" fontId="31" fillId="9" borderId="1" applyAlignment="1" pivotButton="0" quotePrefix="0" xfId="0">
      <alignment horizontal="left" vertical="center" wrapText="1"/>
    </xf>
    <xf numFmtId="0" fontId="31" fillId="8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left" vertical="center" wrapText="1"/>
    </xf>
    <xf numFmtId="0" fontId="27" fillId="7" borderId="0" applyAlignment="1" pivotButton="0" quotePrefix="0" xfId="0">
      <alignment horizontal="center" vertical="center" wrapText="1"/>
    </xf>
    <xf numFmtId="0" fontId="31" fillId="0" borderId="0" pivotButton="0" quotePrefix="0" xfId="0"/>
    <xf numFmtId="165" fontId="31" fillId="0" borderId="0" pivotButton="0" quotePrefix="0" xfId="0"/>
    <xf numFmtId="0" fontId="35" fillId="0" borderId="0" pivotButton="0" quotePrefix="0" xfId="0"/>
    <xf numFmtId="3" fontId="31" fillId="0" borderId="0" pivotButton="0" quotePrefix="0" xfId="0"/>
    <xf numFmtId="0" fontId="14" fillId="8" borderId="9" applyAlignment="1" pivotButton="0" quotePrefix="0" xfId="0">
      <alignment horizontal="left" vertical="center" wrapText="1"/>
    </xf>
    <xf numFmtId="0" fontId="36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7" fillId="8" borderId="8" applyAlignment="1" pivotButton="0" quotePrefix="0" xfId="0">
      <alignment horizontal="center" vertical="center" wrapText="1"/>
    </xf>
    <xf numFmtId="0" fontId="37" fillId="4" borderId="12" applyAlignment="1" pivotButton="0" quotePrefix="0" xfId="0">
      <alignment horizontal="left" vertical="center" wrapText="1"/>
    </xf>
    <xf numFmtId="165" fontId="38" fillId="4" borderId="1" applyAlignment="1" pivotButton="0" quotePrefix="0" xfId="0">
      <alignment horizontal="center" vertical="center" wrapText="1"/>
    </xf>
    <xf numFmtId="3" fontId="39" fillId="8" borderId="1" applyAlignment="1" pivotButton="0" quotePrefix="0" xfId="0">
      <alignment horizontal="center" vertical="center" wrapText="1"/>
    </xf>
    <xf numFmtId="3" fontId="40" fillId="10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right" vertical="center" wrapText="1"/>
    </xf>
    <xf numFmtId="0" fontId="41" fillId="7" borderId="2" applyAlignment="1" pivotButton="0" quotePrefix="0" xfId="0">
      <alignment horizontal="left" vertical="center" wrapText="1"/>
    </xf>
    <xf numFmtId="0" fontId="37" fillId="7" borderId="2" applyAlignment="1" pivotButton="0" quotePrefix="0" xfId="0">
      <alignment horizontal="center" vertical="center" wrapText="1"/>
    </xf>
    <xf numFmtId="0" fontId="42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3" fillId="4" borderId="2" applyAlignment="1" pivotButton="0" quotePrefix="0" xfId="0">
      <alignment horizontal="center" vertical="center" wrapText="1"/>
    </xf>
    <xf numFmtId="0" fontId="44" fillId="1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45" fillId="2" borderId="2" applyAlignment="1" pivotButton="0" quotePrefix="0" xfId="0">
      <alignment horizontal="left" vertical="center" wrapText="1"/>
    </xf>
    <xf numFmtId="3" fontId="45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46" fillId="3" borderId="12" applyAlignment="1" pivotButton="0" quotePrefix="0" xfId="0">
      <alignment horizontal="center" vertical="center" wrapText="1"/>
    </xf>
    <xf numFmtId="0" fontId="25" fillId="7" borderId="13" applyAlignment="1" pivotButton="0" quotePrefix="0" xfId="0">
      <alignment horizontal="left" vertical="center" wrapText="1"/>
    </xf>
    <xf numFmtId="0" fontId="27" fillId="0" borderId="9" applyAlignment="1" pivotButton="0" quotePrefix="0" xfId="0">
      <alignment horizontal="left" vertical="center" wrapText="1"/>
    </xf>
    <xf numFmtId="0" fontId="29" fillId="9" borderId="13" applyAlignment="1" pivotButton="0" quotePrefix="0" xfId="0">
      <alignment horizontal="left" vertical="center" wrapText="1"/>
    </xf>
    <xf numFmtId="0" fontId="13" fillId="8" borderId="13" applyAlignment="1" pivotButton="0" quotePrefix="0" xfId="0">
      <alignment horizontal="left" vertical="center" wrapText="1"/>
    </xf>
    <xf numFmtId="0" fontId="33" fillId="10" borderId="13" applyAlignment="1" pivotButton="0" quotePrefix="0" xfId="0">
      <alignment horizontal="left" vertical="center" wrapText="1"/>
    </xf>
    <xf numFmtId="0" fontId="31" fillId="9" borderId="9" applyAlignment="1" pivotButton="0" quotePrefix="0" xfId="0">
      <alignment horizontal="left" vertical="center" wrapText="1"/>
    </xf>
    <xf numFmtId="0" fontId="31" fillId="8" borderId="9" applyAlignment="1" pivotButton="0" quotePrefix="0" xfId="0">
      <alignment horizontal="left" vertical="center" wrapText="1"/>
    </xf>
    <xf numFmtId="0" fontId="31" fillId="10" borderId="9" applyAlignment="1" pivotButton="0" quotePrefix="0" xfId="0">
      <alignment horizontal="left" vertical="center" wrapText="1"/>
    </xf>
    <xf numFmtId="0" fontId="36" fillId="3" borderId="9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7" fillId="9" borderId="2" applyAlignment="1" pivotButton="0" quotePrefix="0" xfId="0">
      <alignment horizontal="center" vertical="center" wrapText="1"/>
    </xf>
    <xf numFmtId="0" fontId="48" fillId="0" borderId="2" applyAlignment="1" pivotButton="0" quotePrefix="0" xfId="0">
      <alignment horizontal="center" vertical="center" wrapText="1"/>
    </xf>
    <xf numFmtId="0" fontId="49" fillId="8" borderId="2" applyAlignment="1" pivotButton="0" quotePrefix="0" xfId="0">
      <alignment horizontal="center" vertical="center" wrapText="1"/>
    </xf>
    <xf numFmtId="0" fontId="48" fillId="7" borderId="2" applyAlignment="1" pivotButton="0" quotePrefix="0" xfId="0">
      <alignment horizontal="center" vertical="center" wrapText="1"/>
    </xf>
    <xf numFmtId="0" fontId="50" fillId="9" borderId="2" applyAlignment="1" pivotButton="0" quotePrefix="0" xfId="0">
      <alignment horizontal="center" vertical="center" wrapText="1"/>
    </xf>
    <xf numFmtId="0" fontId="51" fillId="8" borderId="2" applyAlignment="1" pivotButton="0" quotePrefix="0" xfId="0">
      <alignment horizontal="center" vertical="center" wrapText="1"/>
    </xf>
    <xf numFmtId="0" fontId="52" fillId="7" borderId="2" applyAlignment="1" pivotButton="0" quotePrefix="0" xfId="0">
      <alignment horizontal="center" vertical="center" wrapText="1"/>
    </xf>
    <xf numFmtId="0" fontId="12" fillId="11" borderId="0" applyAlignment="1" pivotButton="0" quotePrefix="0" xfId="0">
      <alignment horizontal="left" vertical="center" wrapText="1"/>
    </xf>
    <xf numFmtId="167" fontId="8" fillId="7" borderId="2" applyAlignment="1" pivotButton="0" quotePrefix="0" xfId="0">
      <alignment horizontal="center" vertical="center" wrapText="1"/>
    </xf>
    <xf numFmtId="0" fontId="12" fillId="12" borderId="0" applyAlignment="1" pivotButton="0" quotePrefix="0" xfId="0">
      <alignment horizontal="left" vertical="center" wrapText="1"/>
    </xf>
    <xf numFmtId="0" fontId="37" fillId="8" borderId="11" applyAlignment="1" pivotButton="0" quotePrefix="0" xfId="0">
      <alignment horizontal="center" vertical="center" wrapText="1"/>
    </xf>
    <xf numFmtId="0" fontId="37" fillId="4" borderId="13" applyAlignment="1" pivotButton="0" quotePrefix="0" xfId="0">
      <alignment horizontal="left" vertical="center" wrapText="1"/>
    </xf>
    <xf numFmtId="165" fontId="38" fillId="4" borderId="9" applyAlignment="1" pivotButton="0" quotePrefix="0" xfId="0">
      <alignment horizontal="center" vertical="center" wrapText="1"/>
    </xf>
    <xf numFmtId="3" fontId="39" fillId="8" borderId="9" applyAlignment="1" pivotButton="0" quotePrefix="0" xfId="0">
      <alignment horizontal="center" vertical="center" wrapText="1"/>
    </xf>
    <xf numFmtId="3" fontId="40" fillId="10" borderId="9" applyAlignment="1" pivotButton="0" quotePrefix="0" xfId="0">
      <alignment horizontal="center" vertical="center" wrapText="1"/>
    </xf>
    <xf numFmtId="0" fontId="46" fillId="3" borderId="13" applyAlignment="1" pivotButton="0" quotePrefix="0" xfId="0">
      <alignment horizontal="center" vertical="center" wrapText="1"/>
    </xf>
    <xf numFmtId="3" fontId="53" fillId="4" borderId="1" applyAlignment="1" pivotButton="0" quotePrefix="0" xfId="0">
      <alignment horizontal="center" vertical="center" wrapText="1"/>
    </xf>
    <xf numFmtId="3" fontId="54" fillId="10" borderId="1" applyAlignment="1" pivotButton="0" quotePrefix="0" xfId="0">
      <alignment horizontal="center" vertical="center" wrapText="1"/>
    </xf>
    <xf numFmtId="3" fontId="55" fillId="9" borderId="1" applyAlignment="1" pivotButton="0" quotePrefix="0" xfId="0">
      <alignment horizontal="center" vertical="center" wrapText="1"/>
    </xf>
    <xf numFmtId="3" fontId="56" fillId="8" borderId="1" applyAlignment="1" pivotButton="0" quotePrefix="0" xfId="0">
      <alignment horizontal="center" vertical="center" wrapText="1"/>
    </xf>
    <xf numFmtId="0" fontId="57" fillId="4" borderId="2" applyAlignment="1" pivotButton="0" quotePrefix="0" xfId="0">
      <alignment horizontal="center" vertical="center" wrapText="1"/>
    </xf>
    <xf numFmtId="0" fontId="58" fillId="7" borderId="1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3" fontId="8" fillId="7" borderId="2" applyAlignment="1" pivotButton="0" quotePrefix="0" xfId="0">
      <alignment horizontal="center" vertical="center" wrapText="1"/>
    </xf>
    <xf numFmtId="0" fontId="59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60" fillId="10" borderId="2" applyAlignment="1" pivotButton="0" quotePrefix="0" xfId="0">
      <alignment horizontal="left" vertical="center" wrapText="1"/>
    </xf>
    <xf numFmtId="0" fontId="62" fillId="8" borderId="2" applyAlignment="1" pivotButton="0" quotePrefix="0" xfId="0">
      <alignment horizontal="left" vertical="center" wrapText="1"/>
    </xf>
    <xf numFmtId="0" fontId="64" fillId="4" borderId="2" applyAlignment="1" pivotButton="0" quotePrefix="0" xfId="0">
      <alignment horizontal="left" vertical="center" wrapText="1"/>
    </xf>
    <xf numFmtId="3" fontId="61" fillId="10" borderId="2" applyAlignment="1" pivotButton="0" quotePrefix="0" xfId="0">
      <alignment horizontal="center" vertical="center" wrapText="1"/>
    </xf>
    <xf numFmtId="3" fontId="63" fillId="8" borderId="2" applyAlignment="1" pivotButton="0" quotePrefix="0" xfId="0">
      <alignment horizontal="center" vertical="center" wrapText="1"/>
    </xf>
    <xf numFmtId="165" fontId="65" fillId="4" borderId="2" applyAlignment="1" pivotButton="0" quotePrefix="0" xfId="0">
      <alignment horizontal="center" vertical="center" wrapText="1"/>
    </xf>
    <xf numFmtId="165" fontId="7" fillId="7" borderId="2" applyAlignment="1" pivotButton="0" quotePrefix="0" xfId="0">
      <alignment horizontal="center" vertical="center" wrapText="1"/>
    </xf>
    <xf numFmtId="0" fontId="3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165" fontId="45" fillId="2" borderId="2" applyAlignment="1" pivotButton="0" quotePrefix="0" xfId="0">
      <alignment horizontal="center" vertical="center" wrapText="1"/>
    </xf>
    <xf numFmtId="0" fontId="24" fillId="2" borderId="2" applyAlignment="1" pivotButton="0" quotePrefix="0" xfId="0">
      <alignment horizontal="left" vertical="center" wrapText="1"/>
    </xf>
    <xf numFmtId="0" fontId="45" fillId="2" borderId="2" applyAlignment="1" pivotButton="0" quotePrefix="0" xfId="0">
      <alignment horizontal="center" vertical="center" wrapText="1"/>
    </xf>
    <xf numFmtId="3" fontId="53" fillId="4" borderId="9" applyAlignment="1" pivotButton="0" quotePrefix="0" xfId="0">
      <alignment horizontal="center" vertical="center" wrapText="1"/>
    </xf>
    <xf numFmtId="3" fontId="54" fillId="10" borderId="9" applyAlignment="1" pivotButton="0" quotePrefix="0" xfId="0">
      <alignment horizontal="center" vertical="center" wrapText="1"/>
    </xf>
    <xf numFmtId="3" fontId="55" fillId="9" borderId="9" applyAlignment="1" pivotButton="0" quotePrefix="0" xfId="0">
      <alignment horizontal="center" vertical="center" wrapText="1"/>
    </xf>
    <xf numFmtId="3" fontId="56" fillId="8" borderId="9" applyAlignment="1" pivotButton="0" quotePrefix="0" xfId="0">
      <alignment horizontal="center" vertical="center" wrapText="1"/>
    </xf>
    <xf numFmtId="0" fontId="58" fillId="7" borderId="9" applyAlignment="1" pivotButton="0" quotePrefix="0" xfId="0">
      <alignment horizontal="center" vertical="center" wrapText="1"/>
    </xf>
    <xf numFmtId="3" fontId="7" fillId="7" borderId="2" applyAlignment="1" pivotButton="0" quotePrefix="0" xfId="0">
      <alignment horizontal="center" vertical="center" wrapText="1"/>
    </xf>
    <xf numFmtId="0" fontId="66" fillId="7" borderId="2" applyAlignment="1" pivotButton="0" quotePrefix="0" xfId="0">
      <alignment horizontal="center" vertical="center" wrapText="1"/>
    </xf>
    <xf numFmtId="168" fontId="31" fillId="0" borderId="0" pivotButton="0" quotePrefix="0" xfId="0"/>
    <xf numFmtId="0" fontId="12" fillId="2" borderId="2" applyAlignment="1" pivotButton="0" quotePrefix="0" xfId="0">
      <alignment horizontal="center" vertical="center" wrapText="1"/>
    </xf>
    <xf numFmtId="0" fontId="67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69" fillId="4" borderId="12" applyAlignment="1" pivotButton="0" quotePrefix="0" xfId="0">
      <alignment horizontal="left" vertical="center" wrapText="1"/>
    </xf>
    <xf numFmtId="3" fontId="68" fillId="4" borderId="0" applyAlignment="1" pivotButton="0" quotePrefix="0" xfId="0">
      <alignment horizontal="center" vertical="center" wrapText="1"/>
    </xf>
    <xf numFmtId="165" fontId="34" fillId="10" borderId="0" applyAlignment="1" pivotButton="0" quotePrefix="0" xfId="0">
      <alignment horizontal="center" vertical="center" wrapText="1"/>
    </xf>
    <xf numFmtId="3" fontId="70" fillId="4" borderId="0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center" wrapText="1"/>
    </xf>
    <xf numFmtId="3" fontId="67" fillId="7" borderId="2" applyAlignment="1" pivotButton="0" quotePrefix="0" xfId="0">
      <alignment horizontal="center" vertical="center" wrapText="1"/>
    </xf>
    <xf numFmtId="169" fontId="8" fillId="7" borderId="2" applyAlignment="1" pivotButton="0" quotePrefix="0" xfId="0">
      <alignment horizontal="center" vertical="center" wrapText="1"/>
    </xf>
    <xf numFmtId="170" fontId="7" fillId="7" borderId="2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left" vertical="center" wrapText="1"/>
    </xf>
    <xf numFmtId="0" fontId="28" fillId="7" borderId="2" applyAlignment="1" pivotButton="0" quotePrefix="0" xfId="0">
      <alignment horizontal="center" vertical="center" wrapText="1"/>
    </xf>
    <xf numFmtId="165" fontId="16" fillId="7" borderId="2" applyAlignment="1" pivotButton="0" quotePrefix="0" xfId="0">
      <alignment horizontal="center" vertical="center" wrapText="1"/>
    </xf>
    <xf numFmtId="165" fontId="8" fillId="7" borderId="2" applyAlignment="1" pivotButton="0" quotePrefix="0" xfId="0">
      <alignment horizontal="center" vertical="center" wrapText="1"/>
    </xf>
    <xf numFmtId="3" fontId="16" fillId="7" borderId="2" applyAlignment="1" pivotButton="0" quotePrefix="0" xfId="0">
      <alignment horizontal="center" vertical="center" wrapText="1"/>
    </xf>
    <xf numFmtId="0" fontId="44" fillId="10" borderId="2" applyAlignment="1" pivotButton="0" quotePrefix="0" xfId="0">
      <alignment horizontal="left" vertical="center" wrapText="1"/>
    </xf>
    <xf numFmtId="171" fontId="19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center" wrapText="1"/>
    </xf>
    <xf numFmtId="0" fontId="72" fillId="8" borderId="2" applyAlignment="1" pivotButton="0" quotePrefix="0" xfId="0">
      <alignment horizontal="left" vertical="center" wrapText="1"/>
    </xf>
    <xf numFmtId="171" fontId="21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171" fontId="57" fillId="4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left" vertical="center" wrapText="1"/>
    </xf>
    <xf numFmtId="0" fontId="73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left" vertical="center" wrapText="1"/>
    </xf>
    <xf numFmtId="0" fontId="69" fillId="4" borderId="13" applyAlignment="1" pivotButton="0" quotePrefix="0" xfId="0">
      <alignment horizontal="left" vertical="center" wrapText="1"/>
    </xf>
    <xf numFmtId="0" fontId="31" fillId="4" borderId="9" applyAlignment="1" pivotButton="0" quotePrefix="0" xfId="0">
      <alignment horizontal="left" vertical="center" wrapText="1"/>
    </xf>
    <xf numFmtId="0" fontId="71" fillId="0" borderId="1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74" fillId="2" borderId="2" applyAlignment="1" pivotButton="0" quotePrefix="0" xfId="0">
      <alignment horizontal="center" vertical="center" wrapText="1"/>
    </xf>
    <xf numFmtId="0" fontId="75" fillId="4" borderId="2" applyAlignment="1" pivotButton="0" quotePrefix="0" xfId="0">
      <alignment horizontal="center" vertical="center" wrapText="1"/>
    </xf>
    <xf numFmtId="165" fontId="3" fillId="7" borderId="2" applyAlignment="1" pivotButton="0" quotePrefix="0" xfId="0">
      <alignment horizontal="center" vertical="center" wrapText="1"/>
    </xf>
    <xf numFmtId="3" fontId="3" fillId="7" borderId="2" applyAlignment="1" pivotButton="0" quotePrefix="0" xfId="0">
      <alignment horizontal="center" vertical="center" wrapText="1"/>
    </xf>
    <xf numFmtId="0" fontId="71" fillId="7" borderId="2" applyAlignment="1" pivotButton="0" quotePrefix="0" xfId="0">
      <alignment horizontal="left" vertical="center" wrapText="1"/>
    </xf>
    <xf numFmtId="0" fontId="45" fillId="3" borderId="2" applyAlignment="1" pivotButton="0" quotePrefix="0" xfId="0">
      <alignment horizontal="left" vertical="center" wrapText="1"/>
    </xf>
    <xf numFmtId="3" fontId="7" fillId="8" borderId="2" applyAlignment="1" pivotButton="0" quotePrefix="0" xfId="0">
      <alignment horizontal="center" vertical="center" wrapText="1"/>
    </xf>
    <xf numFmtId="165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3" fontId="76" fillId="9" borderId="2" applyAlignment="1" pivotButton="0" quotePrefix="0" xfId="0">
      <alignment horizontal="center" vertical="center" wrapText="1"/>
    </xf>
    <xf numFmtId="3" fontId="77" fillId="8" borderId="2" applyAlignment="1" pivotButton="0" quotePrefix="0" xfId="0">
      <alignment horizontal="center" vertical="center" wrapText="1"/>
    </xf>
    <xf numFmtId="3" fontId="78" fillId="10" borderId="2" applyAlignment="1" pivotButton="0" quotePrefix="0" xfId="0">
      <alignment horizontal="center" vertical="center" wrapText="1"/>
    </xf>
    <xf numFmtId="3" fontId="79" fillId="7" borderId="2" applyAlignment="1" pivotButton="0" quotePrefix="0" xfId="0">
      <alignment horizontal="center" vertical="center" wrapText="1"/>
    </xf>
    <xf numFmtId="0" fontId="45" fillId="3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67" fillId="7" borderId="2" applyAlignment="1" pivotButton="0" quotePrefix="0" xfId="0">
      <alignment horizontal="center" vertical="center" wrapText="1"/>
    </xf>
    <xf numFmtId="0" fontId="29" fillId="7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25" fillId="7" borderId="2" applyAlignment="1" pivotButton="0" quotePrefix="0" xfId="0">
      <alignment horizontal="center" vertical="center" wrapText="1"/>
    </xf>
    <xf numFmtId="0" fontId="17" fillId="5" borderId="2" applyAlignment="1" applyProtection="1" pivotButton="0" quotePrefix="0" xfId="0">
      <alignment horizontal="left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74" fillId="2" borderId="2" applyAlignment="1" applyProtection="1" pivotButton="0" quotePrefix="0" xfId="0">
      <alignment horizontal="center" vertical="center" wrapText="1"/>
      <protection locked="0" hidden="0"/>
    </xf>
    <xf numFmtId="0" fontId="8" fillId="5" borderId="2" applyAlignment="1" applyProtection="1" pivotButton="0" quotePrefix="0" xfId="0">
      <alignment horizontal="center" vertical="center" wrapText="1"/>
      <protection locked="0" hidden="0"/>
    </xf>
    <xf numFmtId="166" fontId="8" fillId="5" borderId="2" applyAlignment="1" applyProtection="1" pivotButton="0" quotePrefix="0" xfId="0">
      <alignment horizontal="center" vertical="center" wrapText="1"/>
      <protection locked="0" hidden="0"/>
    </xf>
    <xf numFmtId="3" fontId="8" fillId="5" borderId="2" applyAlignment="1" applyProtection="1" pivotButton="0" quotePrefix="0" xfId="0">
      <alignment horizontal="center" vertical="center" wrapText="1"/>
      <protection locked="0" hidden="0"/>
    </xf>
    <xf numFmtId="167" fontId="8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Protection="1" pivotButton="0" quotePrefix="0" xfId="0">
      <protection locked="0" hidden="0"/>
    </xf>
    <xf numFmtId="166" fontId="0" fillId="5" borderId="2" applyProtection="1" pivotButton="0" quotePrefix="0" xfId="0">
      <protection locked="0" hidden="0"/>
    </xf>
    <xf numFmtId="3" fontId="0" fillId="5" borderId="2" applyProtection="1" pivotButton="0" quotePrefix="0" xfId="0">
      <protection locked="0" hidden="0"/>
    </xf>
    <xf numFmtId="167" fontId="0" fillId="5" borderId="2" applyProtection="1" pivotButton="0" quotePrefix="0" xfId="0">
      <protection locked="0" hidden="0"/>
    </xf>
    <xf numFmtId="0" fontId="8" fillId="5" borderId="2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2" fillId="2" borderId="2" applyAlignment="1" applyProtection="1" pivotButton="0" quotePrefix="0" xfId="0">
      <alignment horizontal="center" vertical="center" wrapText="1"/>
      <protection locked="0" hidden="0"/>
    </xf>
    <xf numFmtId="0" fontId="0" fillId="0" borderId="3" applyProtection="1" pivotButton="0" quotePrefix="0" xfId="0">
      <protection locked="0" hidden="0"/>
    </xf>
    <xf numFmtId="0" fontId="6" fillId="2" borderId="2" applyAlignment="1" applyProtection="1" pivotButton="0" quotePrefix="0" xfId="0">
      <alignment horizontal="center" vertical="center" wrapText="1"/>
      <protection locked="0" hidden="0"/>
    </xf>
    <xf numFmtId="0" fontId="0" fillId="2" borderId="2" applyProtection="1" pivotButton="0" quotePrefix="0" xfId="0">
      <protection locked="0" hidden="0"/>
    </xf>
    <xf numFmtId="0" fontId="7" fillId="7" borderId="2" applyAlignment="1" applyProtection="1" pivotButton="0" quotePrefix="0" xfId="0">
      <alignment horizontal="left" vertical="center" wrapText="1"/>
      <protection locked="0" hidden="0"/>
    </xf>
    <xf numFmtId="0" fontId="8" fillId="7" borderId="2" applyAlignment="1" applyProtection="1" pivotButton="0" quotePrefix="0" xfId="0">
      <alignment horizontal="center" vertical="center" wrapText="1"/>
      <protection locked="0" hidden="0"/>
    </xf>
    <xf numFmtId="0" fontId="8" fillId="7" borderId="2" applyAlignment="1" applyProtection="1" pivotButton="0" quotePrefix="0" xfId="0">
      <alignment horizontal="left" vertical="center" wrapText="1"/>
      <protection locked="0" hidden="0"/>
    </xf>
    <xf numFmtId="0" fontId="9" fillId="7" borderId="2" applyAlignment="1" applyProtection="1" pivotButton="0" quotePrefix="0" xfId="0">
      <alignment horizontal="left" vertical="center" wrapText="1"/>
      <protection locked="0" hidden="0"/>
    </xf>
    <xf numFmtId="165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3" fontId="7" fillId="5" borderId="2" applyAlignment="1" applyProtection="1" pivotButton="0" quotePrefix="0" xfId="0">
      <alignment horizontal="center" vertical="center" wrapText="1"/>
      <protection locked="0" hidden="0"/>
    </xf>
    <xf numFmtId="0" fontId="11" fillId="9" borderId="2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165" fontId="8" fillId="5" borderId="2" applyAlignment="1" applyProtection="1" pivotButton="0" quotePrefix="0" xfId="0">
      <alignment horizontal="center" vertical="center" wrapText="1"/>
      <protection locked="0" hidden="0"/>
    </xf>
    <xf numFmtId="165" fontId="0" fillId="5" borderId="2" applyProtection="1" pivotButton="0" quotePrefix="0" xfId="0">
      <protection locked="0" hidden="0"/>
    </xf>
  </cellXfs>
  <cellStyles count="1">
    <cellStyle name="Normal" xfId="0" builtinId="0" hidden="0"/>
  </cellStyles>
  <dxfs count="9">
    <dxf>
      <font>
        <name val="微軟正黑體"/>
        <b val="1"/>
        <color rgb="FFB91C1C"/>
      </font>
      <fill>
        <patternFill patternType="solid">
          <fgColor rgb="FFFEE2E2"/>
        </patternFill>
      </fill>
    </dxf>
    <dxf>
      <font>
        <name val="微軟正黑體"/>
        <b val="1"/>
        <color rgb="FFB45309"/>
      </font>
      <fill>
        <patternFill patternType="solid">
          <fgColor rgb="FFFEF3C7"/>
        </patternFill>
      </fill>
    </dxf>
    <dxf>
      <font>
        <name val="微軟正黑體"/>
        <b val="1"/>
        <color rgb="FF15803D"/>
      </font>
      <fill>
        <patternFill patternType="solid">
          <fgColor rgb="FFDCFCE7"/>
        </patternFill>
      </fill>
    </dxf>
    <dxf>
      <font>
        <b val="1"/>
        <color rgb="FFFFFFFF"/>
      </font>
      <fill>
        <patternFill patternType="solid">
          <fgColor rgb="FFB91C1C"/>
        </patternFill>
      </fill>
    </dxf>
    <dxf>
      <font>
        <b val="1"/>
        <color rgb="FFFFFFFF"/>
      </font>
      <fill>
        <patternFill patternType="solid">
          <fgColor rgb="FF15803D"/>
        </patternFill>
      </fill>
    </dxf>
    <dxf>
      <font>
        <name val="微軟正黑體"/>
        <b val="1"/>
        <color rgb="FF64748B"/>
      </font>
      <fill>
        <patternFill patternType="solid">
          <fgColor rgb="FFF1F5F9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ont>
        <b val="1"/>
        <color rgb="FFFFFFFF"/>
      </font>
      <fill>
        <patternFill patternType="solid">
          <fgColor rgb="FFB4530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竊盜破獲率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'全般刑案管制情形分析'!$Q$100:$Q$101</f>
            </numRef>
          </cat>
          <val>
            <numRef>
              <f>'全般刑案管制情形分析'!$R$100:$R$101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詐欺破獲率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'全般刑案管制情形分析'!$S$100:$S$101</f>
            </numRef>
          </cat>
          <val>
            <numRef>
              <f>'全般刑案管制情形分析'!$T$100:$T$101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2880000" cy="18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13</row>
      <rowOff>0</rowOff>
    </from>
    <ext cx="2880000" cy="18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案件" displayName="Tbl案件" ref="A14:Y218" headerRowCount="1">
  <tableColumns count="25">
    <tableColumn id="1" name="編號"/>
    <tableColumn id="2" name="案類"/>
    <tableColumn id="3" name="E化案號"/>
    <tableColumn id="4" name="發生時間"/>
    <tableColumn id="5" name="發生地點"/>
    <tableColumn id="6" name="破獲時間"/>
    <tableColumn id="7" name="破獲地點"/>
    <tableColumn id="8" name="案情摘要"/>
    <tableColumn id="9" name="偵辦進度"/>
    <tableColumn id="10" name="案件狀況"/>
    <tableColumn id="11" name="發生管轄"/>
    <tableColumn id="12" name="查獲管轄"/>
    <tableColumn id="13" name="承辦人"/>
    <tableColumn id="14" name="備註"/>
    <tableColumn id="15" name="涉案金額"/>
    <tableColumn id="16" name="建立日期"/>
    <tableColumn id="17" name="建立者"/>
    <tableColumn id="18" name="是否破獲">
      <calculatedColumnFormula>IFERROR(IF(OR([@案件狀況]="已破獲未移送",[@案件狀況]="已移送"),"是","否"),"")</calculatedColumnFormula>
    </tableColumn>
    <tableColumn id="19" name="歸屬年度">
      <calculatedColumnFormula>IFERROR(IF([@發生時間]="","",YEAR([@發生時間])-1911),"")</calculatedColumnFormula>
    </tableColumn>
    <tableColumn id="20" name="案類分類">
      <calculatedColumnFormula>IFERROR(INDEX(案類分類清單,MATCH([@案類],案類名稱清單,0)),"")</calculatedColumnFormula>
    </tableColumn>
    <tableColumn id="21" name="是否納入統計">
      <calculatedColumnFormula>IFERROR(INDEX(納入全般清單,MATCH([@案類],案類名稱清單,0)),"否")</calculatedColumnFormula>
    </tableColumn>
    <tableColumn id="22" name="主排序鍵">
      <calculatedColumnFormula>IFERROR([@歸屬年度]*10000+IFERROR(MATCH([@案件狀況],{"尚未偵破","已破獲未移送","已移送","簽結"},0),0)*100+ROW(),0)</calculatedColumnFormula>
    </tableColumn>
    <tableColumn id="23" name="績效類別"/>
    <tableColumn id="24" name="計入發生數">
      <calculatedColumnFormula>IFERROR(IF([@績效類別]="","是","否"),"是")</calculatedColumnFormula>
    </tableColumn>
    <tableColumn id="25" name="自填案類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毒調" displayName="Tbl毒調" ref="A14:N84" headerRowCount="1">
  <tableColumns count="14">
    <tableColumn id="1" name="編號"/>
    <tableColumn id="2" name="姓名"/>
    <tableColumn id="3" name="身分證"/>
    <tableColumn id="4" name="性別"/>
    <tableColumn id="5" name="住所"/>
    <tableColumn id="6" name="聯繫"/>
    <tableColumn id="7" name="通緝"/>
    <tableColumn id="8" name="管制情形"/>
    <tableColumn id="9" name="備註"/>
    <tableColumn id="10" name="最後到驗日"/>
    <tableColumn id="11" name="距今天數">
      <calculatedColumnFormula>IFERROR(IF([@最後到驗日]="","",今日-[@最後到驗日]),"")</calculatedColumnFormula>
    </tableColumn>
    <tableColumn id="12" name="是否到驗">
      <calculatedColumnFormula>IFERROR(IF([@管制情形]="",0,IF(OR(SUMPRODUCT(--ISNUMBER(SEARCH({"已驗","已到驗","通緝","強採","在監"},[@管制情形])))&gt;0,AND(ISNUMBER([@距今天數]),[@距今天數]&lt;=30)),1,0)),0)</calculatedColumnFormula>
    </tableColumn>
    <tableColumn id="13" name="狀態燈">
      <calculatedColumnFormula>IFERROR(IF([@管制情形]="","○ 未填",IF(ISNUMBER(SEARCH("解除",[@管制情形])),"○ 結束",IF(AND(ISNUMBER([@距今天數]),[@距今天數]&gt;30),"● 紅",IF([@是否到驗]=1,"● 綠","⚠ 黃")))),"")</calculatedColumnFormula>
    </tableColumn>
    <tableColumn id="14" name="候選旗標">
      <calculatedColumnFormula>IFERROR(IF(OR(ISNUMBER(SEARCH("未到驗",[@管制情形])),AND(ISNUMBER([@距今天數]),[@距今天數]&gt;30)),1,0),0)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bl交通" displayName="Tbl交通" ref="A14:F119" headerRowCount="1">
  <tableColumns count="6">
    <tableColumn id="1" name="編號"/>
    <tableColumn id="2" name="取締日期"/>
    <tableColumn id="3" name="違規項目"/>
    <tableColumn id="4" name="舉發單號"/>
    <tableColumn id="5" name="取締員警"/>
    <tableColumn id="6" name="備註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歷史" displayName="Tbl歷史" ref="A10:N45" headerRowCount="1">
  <tableColumns count="14">
    <tableColumn id="1" name="統計年月"/>
    <tableColumn id="2" name="全般發生"/>
    <tableColumn id="3" name="全般未破"/>
    <tableColumn id="4" name="全般破獲"/>
    <tableColumn id="5" name="破獲率"/>
    <tableColumn id="6" name="竊盜"/>
    <tableColumn id="7" name="詐欺"/>
    <tableColumn id="8" name="已破獲未移送"/>
    <tableColumn id="9" name="發展中"/>
    <tableColumn id="10" name="毒調率"/>
    <tableColumn id="11" name="未到驗"/>
    <tableColumn id="12" name="交通達標"/>
    <tableColumn id="13" name="員警冠軍"/>
    <tableColumn id="14" name="備註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0" topLeftCell="A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2" customWidth="1" min="3" max="3"/>
    <col width="16" customWidth="1" min="4" max="4"/>
    <col width="20" customWidth="1" min="5" max="5"/>
    <col width="14" customWidth="1" min="6" max="6"/>
    <col width="32" customWidth="1" min="7" max="7"/>
  </cols>
  <sheetData>
    <row r="1" ht="52" customHeight="1">
      <c r="A1" s="27" t="inlineStr">
        <is>
          <t xml:space="preserve">   🏛  派出所綜合管制系統 v2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KKEVIN-LIN-2026-V2.0 ｜ 全台通用 ｜ 無巨集 ｜ 一檔搞定刑案/毒調/交通/績效/歷史</t>
        </is>
      </c>
    </row>
    <row r="3" ht="12" customHeight="1"/>
    <row r="4" ht="24" customHeight="1">
      <c r="A4" s="37" t="inlineStr">
        <is>
          <t xml:space="preserve">   ★  本月一句話</t>
        </is>
      </c>
    </row>
    <row r="5" ht="34" customHeight="1">
      <c r="A5" s="87" t="inlineStr">
        <is>
          <t xml:space="preserve">   ="系統健檢 ✓ 通過 ｜ 案件 " &amp; IFERROR(COUNTA(Tbl案件[編號]), 0) &amp; "/" &amp; 案件容量上限 &amp; " ｜ 健康狀態：穩定運作"</t>
        </is>
      </c>
      <c r="B5" s="6" t="n"/>
      <c r="C5" s="6" t="n"/>
      <c r="D5" s="6" t="n"/>
      <c r="E5" s="6" t="n"/>
      <c r="F5" s="6" t="n"/>
      <c r="G5" s="6" t="n"/>
    </row>
    <row r="6" ht="12" customHeight="1"/>
    <row r="7" ht="34" customHeight="1">
      <c r="A7" s="39" t="inlineStr">
        <is>
          <t xml:space="preserve">   👤  我是…</t>
        </is>
      </c>
      <c r="D7" s="39" t="inlineStr">
        <is>
          <t xml:space="preserve">   📍  我要去…（點擊一鍵跳轉）</t>
        </is>
      </c>
    </row>
    <row r="8" ht="30" customHeight="1">
      <c r="A8" s="40" t="inlineStr">
        <is>
          <t xml:space="preserve">   ▸  第一次用</t>
        </is>
      </c>
      <c r="B8" s="7" t="n"/>
      <c r="C8" s="8" t="n"/>
      <c r="D8" s="16" t="inlineStr">
        <is>
          <t xml:space="preserve">   → 設定表（先填派出所名稱與員警名冊）</t>
        </is>
      </c>
      <c r="E8" s="7" t="n"/>
      <c r="F8" s="7" t="n"/>
      <c r="G8" s="8" t="n"/>
    </row>
    <row r="9" ht="30" customHeight="1">
      <c r="A9" s="40" t="inlineStr">
        <is>
          <t xml:space="preserve">   ▸  員警／承辦人</t>
        </is>
      </c>
      <c r="B9" s="7" t="n"/>
      <c r="C9" s="8" t="n"/>
      <c r="D9" s="16" t="inlineStr">
        <is>
          <t xml:space="preserve">   → 案件資料庫（登錄案件）</t>
        </is>
      </c>
      <c r="E9" s="7" t="n"/>
      <c r="F9" s="7" t="n"/>
      <c r="G9" s="8" t="n"/>
    </row>
    <row r="10" ht="30" customHeight="1">
      <c r="A10" s="40" t="inlineStr">
        <is>
          <t xml:space="preserve">   ▸  所長</t>
        </is>
      </c>
      <c r="B10" s="7" t="n"/>
      <c r="C10" s="8" t="n"/>
      <c r="D10" s="16" t="inlineStr">
        <is>
          <t xml:space="preserve">   → 管制總覽（看全所狀態）</t>
        </is>
      </c>
      <c r="E10" s="7" t="n"/>
      <c r="F10" s="7" t="n"/>
      <c r="G10" s="8" t="n"/>
    </row>
    <row r="11" ht="30" customHeight="1">
      <c r="A11" s="40" t="inlineStr">
        <is>
          <t xml:space="preserve">   ▸  督導官</t>
        </is>
      </c>
      <c r="B11" s="7" t="n"/>
      <c r="C11" s="8" t="n"/>
      <c r="D11" s="16" t="inlineStr">
        <is>
          <t xml:space="preserve">   → 長官5分鐘報告（A4 一頁列印交付）</t>
        </is>
      </c>
      <c r="E11" s="7" t="n"/>
      <c r="F11" s="7" t="n"/>
      <c r="G11" s="8" t="n"/>
    </row>
    <row r="12" ht="30" customHeight="1">
      <c r="A12" s="40" t="inlineStr">
        <is>
          <t xml:space="preserve">   ▸  上級機關承辦</t>
        </is>
      </c>
      <c r="B12" s="7" t="n"/>
      <c r="C12" s="8" t="n"/>
      <c r="D12" s="16" t="inlineStr">
        <is>
          <t xml:space="preserve">   → 對上級機關上呈（公文體例三層格式）</t>
        </is>
      </c>
      <c r="E12" s="7" t="n"/>
      <c r="F12" s="7" t="n"/>
      <c r="G12" s="8" t="n"/>
    </row>
    <row r="13" ht="12" customHeight="1"/>
    <row r="14" ht="34" customHeight="1">
      <c r="A14" s="39" t="inlineStr">
        <is>
          <t xml:space="preserve">   📦  5 分鐘上手三步驟</t>
        </is>
      </c>
    </row>
    <row r="15" ht="48" customHeight="1">
      <c r="A15" s="41" t="inlineStr">
        <is>
          <t>①</t>
        </is>
      </c>
      <c r="B15" s="42" t="inlineStr">
        <is>
          <t>填設定表</t>
        </is>
      </c>
      <c r="C15" s="16" t="inlineStr">
        <is>
          <t xml:space="preserve">  派出所名稱、警察局、分局、員警名冊 — 一次設定終身受用</t>
        </is>
      </c>
      <c r="D15" s="7" t="n"/>
      <c r="E15" s="7" t="n"/>
      <c r="F15" s="7" t="n"/>
      <c r="G15" s="8" t="n"/>
    </row>
    <row r="16" ht="48" customHeight="1">
      <c r="A16" s="41" t="inlineStr">
        <is>
          <t>②</t>
        </is>
      </c>
      <c r="B16" s="42" t="inlineStr">
        <is>
          <t>案件資料庫試打</t>
        </is>
      </c>
      <c r="C16" s="16" t="inlineStr">
        <is>
          <t xml:space="preserve">  到「案件資料庫」第一列填試打資料，下拉選單會逐欄帶您</t>
        </is>
      </c>
      <c r="D16" s="7" t="n"/>
      <c r="E16" s="7" t="n"/>
      <c r="F16" s="7" t="n"/>
      <c r="G16" s="8" t="n"/>
    </row>
    <row r="17" ht="48" customHeight="1">
      <c r="A17" s="41" t="inlineStr">
        <is>
          <t>③</t>
        </is>
      </c>
      <c r="B17" s="42" t="inlineStr">
        <is>
          <t>回管制總覽</t>
        </is>
      </c>
      <c r="C17" s="16" t="inlineStr">
        <is>
          <t xml:space="preserve">  看九宮格 KPI 是否點亮，狀態燈正常即代表系統運作健康</t>
        </is>
      </c>
      <c r="D17" s="7" t="n"/>
      <c r="E17" s="7" t="n"/>
      <c r="F17" s="7" t="n"/>
      <c r="G17" s="8" t="n"/>
    </row>
    <row r="18" ht="12" customHeight="1"/>
    <row r="19" ht="32" customHeight="1">
      <c r="A19" s="43">
        <f>"    © 林錦瑞    ｜    KKEVIN-LIN-2026-V2.1    ｜    今日:" &amp; TEXT(今日, "[$-zh-TW]yyyy/mm/dd")</f>
        <v/>
      </c>
      <c r="B19" s="7" t="n"/>
      <c r="C19" s="7" t="n"/>
      <c r="D19" s="7" t="n"/>
      <c r="E19" s="7" t="n"/>
      <c r="F19" s="7" t="n"/>
      <c r="G19" s="8" t="n"/>
    </row>
  </sheetData>
  <mergeCells count="21">
    <mergeCell ref="A14:G14"/>
    <mergeCell ref="D9:G9"/>
    <mergeCell ref="D12:G12"/>
    <mergeCell ref="D8:G8"/>
    <mergeCell ref="C15:G15"/>
    <mergeCell ref="A4:G4"/>
    <mergeCell ref="A12:C12"/>
    <mergeCell ref="A19:G19"/>
    <mergeCell ref="C16:G16"/>
    <mergeCell ref="A8:C8"/>
    <mergeCell ref="D10:G10"/>
    <mergeCell ref="A10:C10"/>
    <mergeCell ref="A1:G1"/>
    <mergeCell ref="A9:C9"/>
    <mergeCell ref="D11:G11"/>
    <mergeCell ref="C17:G17"/>
    <mergeCell ref="A11:C11"/>
    <mergeCell ref="D7:G7"/>
    <mergeCell ref="A2:G2"/>
    <mergeCell ref="A7:C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5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52" customHeight="1">
      <c r="A1" s="27" t="inlineStr">
        <is>
          <t xml:space="preserve">   📊  管制總覽（V4 九宮格 Small Multiples）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8" customHeight="1">
      <c r="A2" s="2">
        <f>"   "&amp;警察局名稱&amp;" · "&amp;分局名稱&amp;" · "&amp;派出所名稱&amp;" ｜ 中華民國 "&amp;(YEAR(今日)-1911)&amp;" 年 "&amp;TEXT(MONTH(今日),"00")&amp;" 月 ｜ 製表："&amp;TEXT(今日,"e/mm/dd")</f>
        <v/>
      </c>
    </row>
    <row r="3" ht="8" customHeight="1"/>
    <row r="4" ht="36" customHeight="1">
      <c r="A4" s="42">
        <f>IF(COUNTIF(S50:S58,"*紅*")&gt;0,"🚨 全所有 "&amp;COUNTIF(S50:S58,"*紅*")&amp;" 項紅燈需立即處理，請查看下方警示摘要",IF(COUNTIF(S50:S58,"*黃*")&gt;0,"⚠ 全所狀態尚可，"&amp;COUNTIF(S50:S58,"*黃*")&amp;" 項黃燈需關注，建議排入週會檢討","✓ 全所狀態良好：9 大 KPI 全綠燈通過"))</f>
        <v/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8" t="n"/>
    </row>
    <row r="5" ht="8" customHeight="1"/>
    <row r="6" ht="34" customHeight="1">
      <c r="A6" s="39" t="inlineStr">
        <is>
          <t xml:space="preserve">   📊  9 KPI 九宮格 ｜ 每格：當期現值 + 狀態燈 + 近 12 月走勢</t>
        </is>
      </c>
    </row>
    <row r="7" ht="6" customHeight="1"/>
    <row r="8" ht="26" customHeight="1">
      <c r="A8" s="108" t="inlineStr">
        <is>
          <t xml:space="preserve">  01  全般破獲率</t>
        </is>
      </c>
      <c r="B8" s="7" t="n"/>
      <c r="C8" s="7" t="n"/>
      <c r="D8" s="7" t="n"/>
      <c r="E8" s="68">
        <f>IF(A9&gt;=0.85,"● 綠",IF(A9&gt;=0.7,"⚠ 黃","● 紅"))</f>
        <v/>
      </c>
      <c r="G8" s="108" t="inlineStr">
        <is>
          <t xml:space="preserve">  02  竊盜破獲率</t>
        </is>
      </c>
      <c r="H8" s="7" t="n"/>
      <c r="I8" s="7" t="n"/>
      <c r="J8" s="7" t="n"/>
      <c r="K8" s="68">
        <f>IF(G9&gt;=0.8,"● 綠",IF(G9&gt;=0.6,"⚠ 黃","● 紅"))</f>
        <v/>
      </c>
      <c r="M8" s="108" t="inlineStr">
        <is>
          <t xml:space="preserve">  03  詐欺破獲率</t>
        </is>
      </c>
      <c r="N8" s="7" t="n"/>
      <c r="O8" s="7" t="n"/>
      <c r="P8" s="7" t="n"/>
      <c r="Q8" s="68">
        <f>IF(M9&gt;=0.6,"● 綠",IF(M9&gt;=0.4,"⚠ 黃","● 紅"))</f>
        <v/>
      </c>
    </row>
    <row r="9" ht="56" customHeight="1">
      <c r="A9" s="69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G9" s="69">
        <f>IFERROR(COUNTIFS(Tbl案件[案類分類],"竊盜",Tbl案件[查獲管轄],"本轄",Tbl案件[是否破獲],"是",Tbl案件[歸屬年度],(YEAR(今日)-1911))/COUNTIFS(Tbl案件[案類分類],"竊盜",Tbl案件[發生管轄],"本轄",Tbl案件[歸屬年度],(YEAR(今日)-1911),Tbl案件[計入發生數],"是"),0)</f>
        <v/>
      </c>
      <c r="M9" s="69">
        <f>IFERROR(COUNTIFS(Tbl案件[案類分類],"詐欺",Tbl案件[查獲管轄],"本轄",Tbl案件[是否破獲],"是",Tbl案件[歸屬年度],(YEAR(今日)-1911))/COUNTIFS(Tbl案件[案類分類],"詐欺",Tbl案件[發生管轄],"本轄",Tbl案件[歸屬年度],(YEAR(今日)-1911),Tbl案件[計入發生數],"是"),0)</f>
        <v/>
      </c>
    </row>
    <row r="10" ht="22" customHeight="1">
      <c r="A10" s="109" t="inlineStr">
        <is>
          <t xml:space="preserve">  目標 ≥ 85% ｜ 黃燈 70-85% ｜ 紅燈 &lt; 70%</t>
        </is>
      </c>
      <c r="B10" s="6" t="n"/>
      <c r="C10" s="6" t="n"/>
      <c r="D10" s="6" t="n"/>
      <c r="E10" s="6" t="n"/>
      <c r="G10" s="109" t="inlineStr">
        <is>
          <t xml:space="preserve">  目標 ≥ 80% ｜ 黃燈 60-80% ｜ 紅燈 &lt; 60%</t>
        </is>
      </c>
      <c r="H10" s="6" t="n"/>
      <c r="I10" s="6" t="n"/>
      <c r="J10" s="6" t="n"/>
      <c r="K10" s="6" t="n"/>
      <c r="M10" s="109" t="inlineStr">
        <is>
          <t xml:space="preserve">  目標 ≥ 60% ｜ 黃燈 40-60% ｜ 紅燈 &lt; 40%</t>
        </is>
      </c>
      <c r="N10" s="6" t="n"/>
      <c r="O10" s="6" t="n"/>
      <c r="P10" s="6" t="n"/>
      <c r="Q10" s="6" t="n"/>
    </row>
    <row r="11" ht="26" customHeight="1">
      <c r="A11" s="71">
        <f>AR50</f>
        <v/>
      </c>
      <c r="G11" s="71">
        <f>AR51</f>
        <v/>
      </c>
      <c r="M11" s="71">
        <f>AR52</f>
        <v/>
      </c>
    </row>
    <row r="12" ht="10" customHeight="1"/>
    <row r="13" ht="26" customHeight="1">
      <c r="A13" s="108" t="inlineStr">
        <is>
          <t xml:space="preserve">  04  毒調率</t>
        </is>
      </c>
      <c r="B13" s="7" t="n"/>
      <c r="C13" s="7" t="n"/>
      <c r="D13" s="7" t="n"/>
      <c r="E13" s="68">
        <f>IF(IFERROR(SUM(Tbl毒調[是否到驗])/COUNTA(Tbl毒調[姓名]),0)&gt;=毒調率目標,"● 綠",IF(IFERROR(SUM(Tbl毒調[是否到驗])/COUNTA(Tbl毒調[姓名]),0)&gt;=(毒調率目標-0.1),"⚠ 黃","● 紅"))</f>
        <v/>
      </c>
      <c r="G13" s="108" t="inlineStr">
        <is>
          <t xml:space="preserve">  05  未到驗人口</t>
        </is>
      </c>
      <c r="H13" s="7" t="n"/>
      <c r="I13" s="7" t="n"/>
      <c r="J13" s="7" t="n"/>
      <c r="K13" s="68">
        <f>IF(IFERROR(SUM(Tbl毒調[候選旗標]),0)&lt;=5,"● 綠",IF(IFERROR(SUM(Tbl毒調[候選旗標]),0)&lt;=10,"⚠ 黃","● 紅"))</f>
        <v/>
      </c>
      <c r="M13" s="108" t="inlineStr">
        <is>
          <t xml:space="preserve">  06  未破案件</t>
        </is>
      </c>
      <c r="N13" s="7" t="n"/>
      <c r="O13" s="7" t="n"/>
      <c r="P13" s="7" t="n"/>
      <c r="Q13" s="68">
        <f>IF(M14&lt;=5,"● 綠",IF(M14&lt;=10,"⚠ 黃","● 紅"))</f>
        <v/>
      </c>
    </row>
    <row r="14" ht="56" customHeight="1">
      <c r="A14" s="69">
        <f>IFERROR(SUM(Tbl毒調[是否到驗])/COUNTA(Tbl毒調[姓名]),0)</f>
        <v/>
      </c>
      <c r="G14" s="72">
        <f>IFERROR(COUNTA(Tbl毒調[姓名])-SUM(Tbl毒調[是否到驗])-COUNTIF(Tbl毒調[狀態燈],"*結束*"),0)</f>
        <v/>
      </c>
      <c r="M14" s="72">
        <f>IFERROR(COUNTIFS(Tbl案件[案件狀況],"尚未偵破",Tbl案件[發生管轄],"本轄",Tbl案件[歸屬年度],(YEAR(今日)-1911),Tbl案件[計入發生數],"是"),0)</f>
        <v/>
      </c>
    </row>
    <row r="15" ht="22" customHeight="1">
      <c r="A15" s="109" t="inlineStr">
        <is>
          <t xml:space="preserve">  目標 ≥ 60% ｜ 黃燈 50-60% ｜ 紅燈 &lt; 50%</t>
        </is>
      </c>
      <c r="B15" s="6" t="n"/>
      <c r="C15" s="6" t="n"/>
      <c r="D15" s="6" t="n"/>
      <c r="E15" s="6" t="n"/>
      <c r="G15" s="109" t="inlineStr">
        <is>
          <t xml:space="preserve">  目標 &lt; 5 人 ｜ 黃燈 5-10 ｜ 紅燈 &gt; 10（值越小越好）</t>
        </is>
      </c>
      <c r="H15" s="6" t="n"/>
      <c r="I15" s="6" t="n"/>
      <c r="J15" s="6" t="n"/>
      <c r="K15" s="6" t="n"/>
      <c r="M15" s="109" t="inlineStr">
        <is>
          <t xml:space="preserve">  目標 ≤ 5 件 ｜ 黃燈 5-10 件 ｜ 紅燈 &gt; 10 件（值越小越好）</t>
        </is>
      </c>
      <c r="N15" s="6" t="n"/>
      <c r="O15" s="6" t="n"/>
      <c r="P15" s="6" t="n"/>
      <c r="Q15" s="6" t="n"/>
    </row>
    <row r="16" ht="26" customHeight="1">
      <c r="A16" s="71">
        <f>AR53</f>
        <v/>
      </c>
      <c r="G16" s="71">
        <f>AR54</f>
        <v/>
      </c>
      <c r="M16" s="71">
        <f>AR55</f>
        <v/>
      </c>
    </row>
    <row r="17" ht="10" customHeight="1"/>
    <row r="18" ht="26" customHeight="1">
      <c r="A18" s="108" t="inlineStr">
        <is>
          <t xml:space="preserve">  07  交通達成率</t>
        </is>
      </c>
      <c r="B18" s="7" t="n"/>
      <c r="C18" s="7" t="n"/>
      <c r="D18" s="7" t="n"/>
      <c r="E18" s="68">
        <f>IF(A19&gt;=0.8,"● 綠",IF(A19&gt;=0.6,"⚠ 黃","● 紅"))</f>
        <v/>
      </c>
      <c r="G18" s="108" t="inlineStr">
        <is>
          <t xml:space="preserve">  08  酒駕取締</t>
        </is>
      </c>
      <c r="H18" s="7" t="n"/>
      <c r="I18" s="7" t="n"/>
      <c r="J18" s="7" t="n"/>
      <c r="K18" s="68">
        <f>IF(G19&gt;=3,"● 綠",IF(G19&gt;=1,"⚠ 黃","● 紅"))</f>
        <v/>
      </c>
      <c r="M18" s="108" t="inlineStr">
        <is>
          <t xml:space="preserve">  09  闖紅燈取締</t>
        </is>
      </c>
      <c r="N18" s="7" t="n"/>
      <c r="O18" s="7" t="n"/>
      <c r="P18" s="7" t="n"/>
      <c r="Q18" s="68">
        <f>IF(M19&gt;=5,"● 綠",IF(M19&gt;=1,"⚠ 黃","● 紅"))</f>
        <v/>
      </c>
    </row>
    <row r="19" ht="56" customHeight="1">
      <c r="A19" s="69">
        <f>IFERROR(交通績效管制!E8,0)</f>
        <v/>
      </c>
      <c r="G19" s="72">
        <f>IFERROR(COUNTIF(Tbl交通[違規項目],"*酒駕*"),0)</f>
        <v/>
      </c>
      <c r="M19" s="72">
        <f>IFERROR(COUNTIF(Tbl交通[違規項目],"*闖紅燈*"),0)</f>
        <v/>
      </c>
    </row>
    <row r="20" ht="22" customHeight="1">
      <c r="A20" s="109" t="inlineStr">
        <is>
          <t xml:space="preserve">  目標 ≥ 80% ｜ 黃燈 60-80% ｜ 紅燈 &lt; 60%</t>
        </is>
      </c>
      <c r="B20" s="6" t="n"/>
      <c r="C20" s="6" t="n"/>
      <c r="D20" s="6" t="n"/>
      <c r="E20" s="6" t="n"/>
      <c r="G20" s="109" t="inlineStr">
        <is>
          <t xml:space="preserve">  目標 ≥ 3 件 ｜ 黃燈 1-3 件 ｜ 紅燈 0 件</t>
        </is>
      </c>
      <c r="H20" s="6" t="n"/>
      <c r="I20" s="6" t="n"/>
      <c r="J20" s="6" t="n"/>
      <c r="K20" s="6" t="n"/>
      <c r="M20" s="109" t="inlineStr">
        <is>
          <t xml:space="preserve">  目標 ≥ 5 件 ｜ 黃燈 1-5 件 ｜ 紅燈 0 件</t>
        </is>
      </c>
      <c r="N20" s="6" t="n"/>
      <c r="O20" s="6" t="n"/>
      <c r="P20" s="6" t="n"/>
      <c r="Q20" s="6" t="n"/>
    </row>
    <row r="21" ht="26" customHeight="1">
      <c r="A21" s="71">
        <f>AR56</f>
        <v/>
      </c>
      <c r="G21" s="71">
        <f>AR57</f>
        <v/>
      </c>
      <c r="M21" s="71">
        <f>AR58</f>
        <v/>
      </c>
    </row>
    <row r="22" ht="14" customHeight="1"/>
    <row r="23" ht="34" customHeight="1">
      <c r="A23" s="39" t="inlineStr">
        <is>
          <t xml:space="preserve">   ⚠  警示摘要（公式自動聚合 9 KPI 燈號）</t>
        </is>
      </c>
    </row>
    <row r="24" ht="24" customHeight="1">
      <c r="A24" s="110" t="inlineStr">
        <is>
          <t xml:space="preserve">  ● 紅燈總數</t>
        </is>
      </c>
      <c r="B24" s="7" t="n"/>
      <c r="C24" s="7" t="n"/>
      <c r="D24" s="7" t="n"/>
      <c r="E24" s="7" t="n"/>
      <c r="G24" s="111" t="inlineStr">
        <is>
          <t xml:space="preserve">  ⚠ 黃燈總數</t>
        </is>
      </c>
      <c r="H24" s="7" t="n"/>
      <c r="I24" s="7" t="n"/>
      <c r="J24" s="7" t="n"/>
      <c r="K24" s="7" t="n"/>
      <c r="M24" s="112" t="inlineStr">
        <is>
          <t xml:space="preserve">  ● 綠燈總數</t>
        </is>
      </c>
      <c r="N24" s="7" t="n"/>
      <c r="O24" s="7" t="n"/>
      <c r="P24" s="7" t="n"/>
      <c r="Q24" s="7" t="n"/>
    </row>
    <row r="25" ht="44" customHeight="1">
      <c r="A25" s="76">
        <f>COUNTIF(S50:S58,"*紅*")</f>
        <v/>
      </c>
      <c r="G25" s="77">
        <f>COUNTIF(S50:S58,"*黃*")</f>
        <v/>
      </c>
      <c r="M25" s="78">
        <f>COUNTIF(S50:S58,"*綠*")</f>
        <v/>
      </c>
    </row>
    <row r="26" ht="20" customHeight="1">
      <c r="A26" s="113" t="inlineStr">
        <is>
          <t xml:space="preserve">  需立即處理</t>
        </is>
      </c>
      <c r="B26" s="6" t="n"/>
      <c r="C26" s="6" t="n"/>
      <c r="D26" s="6" t="n"/>
      <c r="E26" s="6" t="n"/>
      <c r="G26" s="114" t="inlineStr">
        <is>
          <t xml:space="preserve">  建議週會檢討</t>
        </is>
      </c>
      <c r="H26" s="6" t="n"/>
      <c r="I26" s="6" t="n"/>
      <c r="J26" s="6" t="n"/>
      <c r="K26" s="6" t="n"/>
      <c r="M26" s="115" t="inlineStr">
        <is>
          <t xml:space="preserve">  持續維持</t>
        </is>
      </c>
      <c r="N26" s="6" t="n"/>
      <c r="O26" s="6" t="n"/>
      <c r="P26" s="6" t="n"/>
      <c r="Q26" s="6" t="n"/>
    </row>
    <row r="27" ht="12" customHeight="1"/>
    <row r="28" ht="22" customHeight="1">
      <c r="A28" s="82">
        <f>"© KKEVIN-LIN-2026-V2.0  ｜  資料源：Tbl案件 + Tbl交通 + Tbl歷史  ｜  製表："&amp;TEXT(今日,"e/mm/dd")&amp;"  ｜  下次重算：開檔自動"</f>
        <v/>
      </c>
    </row>
    <row r="49" hidden="1">
      <c r="R49" s="83" t="inlineStr">
        <is>
          <t>[helper] KPI</t>
        </is>
      </c>
      <c r="S49" s="83" t="inlineStr">
        <is>
          <t>燈</t>
        </is>
      </c>
      <c r="T49" s="83" t="inlineStr">
        <is>
          <t>近 12 月資料 (T..AE) →</t>
        </is>
      </c>
      <c r="AF49" s="83" t="inlineStr">
        <is>
          <t>block 字元 (AF..AQ) →</t>
        </is>
      </c>
      <c r="AR49" s="83" t="inlineStr">
        <is>
          <t>sparkline 字串</t>
        </is>
      </c>
    </row>
    <row r="50" hidden="1">
      <c r="R50" s="83" t="inlineStr">
        <is>
          <t>01 全般破獲率</t>
        </is>
      </c>
      <c r="S50" s="83">
        <f>E8</f>
        <v/>
      </c>
      <c r="T50" s="84">
        <f>IFERROR(INDEX(Tbl歷史,MAX(1,ROWS(Tbl歷史)-11+0),5),"")</f>
        <v/>
      </c>
      <c r="U50" s="84">
        <f>IFERROR(INDEX(Tbl歷史,MAX(1,ROWS(Tbl歷史)-11+1),5),"")</f>
        <v/>
      </c>
      <c r="V50" s="84">
        <f>IFERROR(INDEX(Tbl歷史,MAX(1,ROWS(Tbl歷史)-11+2),5),"")</f>
        <v/>
      </c>
      <c r="W50" s="84">
        <f>IFERROR(INDEX(Tbl歷史,MAX(1,ROWS(Tbl歷史)-11+3),5),"")</f>
        <v/>
      </c>
      <c r="X50" s="84">
        <f>IFERROR(INDEX(Tbl歷史,MAX(1,ROWS(Tbl歷史)-11+4),5),"")</f>
        <v/>
      </c>
      <c r="Y50" s="84">
        <f>IFERROR(INDEX(Tbl歷史,MAX(1,ROWS(Tbl歷史)-11+5),5),"")</f>
        <v/>
      </c>
      <c r="Z50" s="84">
        <f>IFERROR(INDEX(Tbl歷史,MAX(1,ROWS(Tbl歷史)-11+6),5),"")</f>
        <v/>
      </c>
      <c r="AA50" s="84">
        <f>IFERROR(INDEX(Tbl歷史,MAX(1,ROWS(Tbl歷史)-11+7),5),"")</f>
        <v/>
      </c>
      <c r="AB50" s="84">
        <f>IFERROR(INDEX(Tbl歷史,MAX(1,ROWS(Tbl歷史)-11+8),5),"")</f>
        <v/>
      </c>
      <c r="AC50" s="84">
        <f>IFERROR(INDEX(Tbl歷史,MAX(1,ROWS(Tbl歷史)-11+9),5),"")</f>
        <v/>
      </c>
      <c r="AD50" s="84">
        <f>IFERROR(INDEX(Tbl歷史,MAX(1,ROWS(Tbl歷史)-11+10),5),"")</f>
        <v/>
      </c>
      <c r="AE50" s="84">
        <f>IFERROR(INDEX(Tbl歷史,MAX(1,ROWS(Tbl歷史)-11+11),5),"")</f>
        <v/>
      </c>
      <c r="AF50" s="83">
        <f>IF(OR(NOT(ISNUMBER(T50)),MAX($T50:$AE50)=MIN($T50:$AE50)),IF(ISNUMBER(T50),"▄",""),CHOOSE(1+MIN(7,MAX(0,ROUND((T50-MIN($T50:$AE50))/(MAX($T50:$AE50)-MIN($T50:$AE50))*7,0))),"▁","▂","▃","▄","▅","▆","▇","█"))</f>
        <v/>
      </c>
      <c r="AG50" s="83">
        <f>IF(OR(NOT(ISNUMBER(U50)),MAX($T50:$AE50)=MIN($T50:$AE50)),IF(ISNUMBER(U50),"▄",""),CHOOSE(1+MIN(7,MAX(0,ROUND((U50-MIN($T50:$AE50))/(MAX($T50:$AE50)-MIN($T50:$AE50))*7,0))),"▁","▂","▃","▄","▅","▆","▇","█"))</f>
        <v/>
      </c>
      <c r="AH50" s="83">
        <f>IF(OR(NOT(ISNUMBER(V50)),MAX($T50:$AE50)=MIN($T50:$AE50)),IF(ISNUMBER(V50),"▄",""),CHOOSE(1+MIN(7,MAX(0,ROUND((V50-MIN($T50:$AE50))/(MAX($T50:$AE50)-MIN($T50:$AE50))*7,0))),"▁","▂","▃","▄","▅","▆","▇","█"))</f>
        <v/>
      </c>
      <c r="AI50" s="83">
        <f>IF(OR(NOT(ISNUMBER(W50)),MAX($T50:$AE50)=MIN($T50:$AE50)),IF(ISNUMBER(W50),"▄",""),CHOOSE(1+MIN(7,MAX(0,ROUND((W50-MIN($T50:$AE50))/(MAX($T50:$AE50)-MIN($T50:$AE50))*7,0))),"▁","▂","▃","▄","▅","▆","▇","█"))</f>
        <v/>
      </c>
      <c r="AJ50" s="83">
        <f>IF(OR(NOT(ISNUMBER(X50)),MAX($T50:$AE50)=MIN($T50:$AE50)),IF(ISNUMBER(X50),"▄",""),CHOOSE(1+MIN(7,MAX(0,ROUND((X50-MIN($T50:$AE50))/(MAX($T50:$AE50)-MIN($T50:$AE50))*7,0))),"▁","▂","▃","▄","▅","▆","▇","█"))</f>
        <v/>
      </c>
      <c r="AK50" s="83">
        <f>IF(OR(NOT(ISNUMBER(Y50)),MAX($T50:$AE50)=MIN($T50:$AE50)),IF(ISNUMBER(Y50),"▄",""),CHOOSE(1+MIN(7,MAX(0,ROUND((Y50-MIN($T50:$AE50))/(MAX($T50:$AE50)-MIN($T50:$AE50))*7,0))),"▁","▂","▃","▄","▅","▆","▇","█"))</f>
        <v/>
      </c>
      <c r="AL50" s="83">
        <f>IF(OR(NOT(ISNUMBER(Z50)),MAX($T50:$AE50)=MIN($T50:$AE50)),IF(ISNUMBER(Z50),"▄",""),CHOOSE(1+MIN(7,MAX(0,ROUND((Z50-MIN($T50:$AE50))/(MAX($T50:$AE50)-MIN($T50:$AE50))*7,0))),"▁","▂","▃","▄","▅","▆","▇","█"))</f>
        <v/>
      </c>
      <c r="AM50" s="83">
        <f>IF(OR(NOT(ISNUMBER(AA50)),MAX($T50:$AE50)=MIN($T50:$AE50)),IF(ISNUMBER(AA50),"▄",""),CHOOSE(1+MIN(7,MAX(0,ROUND((AA50-MIN($T50:$AE50))/(MAX($T50:$AE50)-MIN($T50:$AE50))*7,0))),"▁","▂","▃","▄","▅","▆","▇","█"))</f>
        <v/>
      </c>
      <c r="AN50" s="83">
        <f>IF(OR(NOT(ISNUMBER(AB50)),MAX($T50:$AE50)=MIN($T50:$AE50)),IF(ISNUMBER(AB50),"▄",""),CHOOSE(1+MIN(7,MAX(0,ROUND((AB50-MIN($T50:$AE50))/(MAX($T50:$AE50)-MIN($T50:$AE50))*7,0))),"▁","▂","▃","▄","▅","▆","▇","█"))</f>
        <v/>
      </c>
      <c r="AO50" s="83">
        <f>IF(OR(NOT(ISNUMBER(AC50)),MAX($T50:$AE50)=MIN($T50:$AE50)),IF(ISNUMBER(AC50),"▄",""),CHOOSE(1+MIN(7,MAX(0,ROUND((AC50-MIN($T50:$AE50))/(MAX($T50:$AE50)-MIN($T50:$AE50))*7,0))),"▁","▂","▃","▄","▅","▆","▇","█"))</f>
        <v/>
      </c>
      <c r="AP50" s="83">
        <f>IF(OR(NOT(ISNUMBER(AD50)),MAX($T50:$AE50)=MIN($T50:$AE50)),IF(ISNUMBER(AD50),"▄",""),CHOOSE(1+MIN(7,MAX(0,ROUND((AD50-MIN($T50:$AE50))/(MAX($T50:$AE50)-MIN($T50:$AE50))*7,0))),"▁","▂","▃","▄","▅","▆","▇","█"))</f>
        <v/>
      </c>
      <c r="AQ50" s="83">
        <f>IF(OR(NOT(ISNUMBER(AE50)),MAX($T50:$AE50)=MIN($T50:$AE50)),IF(ISNUMBER(AE50),"▄",""),CHOOSE(1+MIN(7,MAX(0,ROUND((AE50-MIN($T50:$AE50))/(MAX($T50:$AE50)-MIN($T50:$AE50))*7,0))),"▁","▂","▃","▄","▅","▆","▇","█"))</f>
        <v/>
      </c>
      <c r="AR50" s="85">
        <f>IFERROR(CONCAT($AF50:$AQ50),"")</f>
        <v/>
      </c>
    </row>
    <row r="51" hidden="1">
      <c r="R51" s="83" t="inlineStr">
        <is>
          <t>02 竊盜破獲率</t>
        </is>
      </c>
      <c r="S51" s="83">
        <f>K8</f>
        <v/>
      </c>
      <c r="T51" s="84">
        <f>IFERROR(INDEX(Tbl歷史,MAX(1,ROWS(Tbl歷史)-11+0),6),"")</f>
        <v/>
      </c>
      <c r="U51" s="84">
        <f>IFERROR(INDEX(Tbl歷史,MAX(1,ROWS(Tbl歷史)-11+1),6),"")</f>
        <v/>
      </c>
      <c r="V51" s="84">
        <f>IFERROR(INDEX(Tbl歷史,MAX(1,ROWS(Tbl歷史)-11+2),6),"")</f>
        <v/>
      </c>
      <c r="W51" s="84">
        <f>IFERROR(INDEX(Tbl歷史,MAX(1,ROWS(Tbl歷史)-11+3),6),"")</f>
        <v/>
      </c>
      <c r="X51" s="84">
        <f>IFERROR(INDEX(Tbl歷史,MAX(1,ROWS(Tbl歷史)-11+4),6),"")</f>
        <v/>
      </c>
      <c r="Y51" s="84">
        <f>IFERROR(INDEX(Tbl歷史,MAX(1,ROWS(Tbl歷史)-11+5),6),"")</f>
        <v/>
      </c>
      <c r="Z51" s="84">
        <f>IFERROR(INDEX(Tbl歷史,MAX(1,ROWS(Tbl歷史)-11+6),6),"")</f>
        <v/>
      </c>
      <c r="AA51" s="84">
        <f>IFERROR(INDEX(Tbl歷史,MAX(1,ROWS(Tbl歷史)-11+7),6),"")</f>
        <v/>
      </c>
      <c r="AB51" s="84">
        <f>IFERROR(INDEX(Tbl歷史,MAX(1,ROWS(Tbl歷史)-11+8),6),"")</f>
        <v/>
      </c>
      <c r="AC51" s="84">
        <f>IFERROR(INDEX(Tbl歷史,MAX(1,ROWS(Tbl歷史)-11+9),6),"")</f>
        <v/>
      </c>
      <c r="AD51" s="84">
        <f>IFERROR(INDEX(Tbl歷史,MAX(1,ROWS(Tbl歷史)-11+10),6),"")</f>
        <v/>
      </c>
      <c r="AE51" s="84">
        <f>IFERROR(INDEX(Tbl歷史,MAX(1,ROWS(Tbl歷史)-11+11),6),"")</f>
        <v/>
      </c>
      <c r="AF51" s="83">
        <f>IF(OR(NOT(ISNUMBER(T51)),MAX($T51:$AE51)=MIN($T51:$AE51)),IF(ISNUMBER(T51),"▄",""),CHOOSE(1+MIN(7,MAX(0,ROUND((T51-MIN($T51:$AE51))/(MAX($T51:$AE51)-MIN($T51:$AE51))*7,0))),"▁","▂","▃","▄","▅","▆","▇","█"))</f>
        <v/>
      </c>
      <c r="AG51" s="83">
        <f>IF(OR(NOT(ISNUMBER(U51)),MAX($T51:$AE51)=MIN($T51:$AE51)),IF(ISNUMBER(U51),"▄",""),CHOOSE(1+MIN(7,MAX(0,ROUND((U51-MIN($T51:$AE51))/(MAX($T51:$AE51)-MIN($T51:$AE51))*7,0))),"▁","▂","▃","▄","▅","▆","▇","█"))</f>
        <v/>
      </c>
      <c r="AH51" s="83">
        <f>IF(OR(NOT(ISNUMBER(V51)),MAX($T51:$AE51)=MIN($T51:$AE51)),IF(ISNUMBER(V51),"▄",""),CHOOSE(1+MIN(7,MAX(0,ROUND((V51-MIN($T51:$AE51))/(MAX($T51:$AE51)-MIN($T51:$AE51))*7,0))),"▁","▂","▃","▄","▅","▆","▇","█"))</f>
        <v/>
      </c>
      <c r="AI51" s="83">
        <f>IF(OR(NOT(ISNUMBER(W51)),MAX($T51:$AE51)=MIN($T51:$AE51)),IF(ISNUMBER(W51),"▄",""),CHOOSE(1+MIN(7,MAX(0,ROUND((W51-MIN($T51:$AE51))/(MAX($T51:$AE51)-MIN($T51:$AE51))*7,0))),"▁","▂","▃","▄","▅","▆","▇","█"))</f>
        <v/>
      </c>
      <c r="AJ51" s="83">
        <f>IF(OR(NOT(ISNUMBER(X51)),MAX($T51:$AE51)=MIN($T51:$AE51)),IF(ISNUMBER(X51),"▄",""),CHOOSE(1+MIN(7,MAX(0,ROUND((X51-MIN($T51:$AE51))/(MAX($T51:$AE51)-MIN($T51:$AE51))*7,0))),"▁","▂","▃","▄","▅","▆","▇","█"))</f>
        <v/>
      </c>
      <c r="AK51" s="83">
        <f>IF(OR(NOT(ISNUMBER(Y51)),MAX($T51:$AE51)=MIN($T51:$AE51)),IF(ISNUMBER(Y51),"▄",""),CHOOSE(1+MIN(7,MAX(0,ROUND((Y51-MIN($T51:$AE51))/(MAX($T51:$AE51)-MIN($T51:$AE51))*7,0))),"▁","▂","▃","▄","▅","▆","▇","█"))</f>
        <v/>
      </c>
      <c r="AL51" s="83">
        <f>IF(OR(NOT(ISNUMBER(Z51)),MAX($T51:$AE51)=MIN($T51:$AE51)),IF(ISNUMBER(Z51),"▄",""),CHOOSE(1+MIN(7,MAX(0,ROUND((Z51-MIN($T51:$AE51))/(MAX($T51:$AE51)-MIN($T51:$AE51))*7,0))),"▁","▂","▃","▄","▅","▆","▇","█"))</f>
        <v/>
      </c>
      <c r="AM51" s="83">
        <f>IF(OR(NOT(ISNUMBER(AA51)),MAX($T51:$AE51)=MIN($T51:$AE51)),IF(ISNUMBER(AA51),"▄",""),CHOOSE(1+MIN(7,MAX(0,ROUND((AA51-MIN($T51:$AE51))/(MAX($T51:$AE51)-MIN($T51:$AE51))*7,0))),"▁","▂","▃","▄","▅","▆","▇","█"))</f>
        <v/>
      </c>
      <c r="AN51" s="83">
        <f>IF(OR(NOT(ISNUMBER(AB51)),MAX($T51:$AE51)=MIN($T51:$AE51)),IF(ISNUMBER(AB51),"▄",""),CHOOSE(1+MIN(7,MAX(0,ROUND((AB51-MIN($T51:$AE51))/(MAX($T51:$AE51)-MIN($T51:$AE51))*7,0))),"▁","▂","▃","▄","▅","▆","▇","█"))</f>
        <v/>
      </c>
      <c r="AO51" s="83">
        <f>IF(OR(NOT(ISNUMBER(AC51)),MAX($T51:$AE51)=MIN($T51:$AE51)),IF(ISNUMBER(AC51),"▄",""),CHOOSE(1+MIN(7,MAX(0,ROUND((AC51-MIN($T51:$AE51))/(MAX($T51:$AE51)-MIN($T51:$AE51))*7,0))),"▁","▂","▃","▄","▅","▆","▇","█"))</f>
        <v/>
      </c>
      <c r="AP51" s="83">
        <f>IF(OR(NOT(ISNUMBER(AD51)),MAX($T51:$AE51)=MIN($T51:$AE51)),IF(ISNUMBER(AD51),"▄",""),CHOOSE(1+MIN(7,MAX(0,ROUND((AD51-MIN($T51:$AE51))/(MAX($T51:$AE51)-MIN($T51:$AE51))*7,0))),"▁","▂","▃","▄","▅","▆","▇","█"))</f>
        <v/>
      </c>
      <c r="AQ51" s="83">
        <f>IF(OR(NOT(ISNUMBER(AE51)),MAX($T51:$AE51)=MIN($T51:$AE51)),IF(ISNUMBER(AE51),"▄",""),CHOOSE(1+MIN(7,MAX(0,ROUND((AE51-MIN($T51:$AE51))/(MAX($T51:$AE51)-MIN($T51:$AE51))*7,0))),"▁","▂","▃","▄","▅","▆","▇","█"))</f>
        <v/>
      </c>
      <c r="AR51" s="85">
        <f>IFERROR(CONCAT($AF51:$AQ51),"")</f>
        <v/>
      </c>
    </row>
    <row r="52" hidden="1">
      <c r="R52" s="83" t="inlineStr">
        <is>
          <t>03 詐欺破獲率</t>
        </is>
      </c>
      <c r="S52" s="83">
        <f>Q8</f>
        <v/>
      </c>
      <c r="T52" s="84">
        <f>IFERROR(INDEX(Tbl歷史,MAX(1,ROWS(Tbl歷史)-11+0),7),"")</f>
        <v/>
      </c>
      <c r="U52" s="84">
        <f>IFERROR(INDEX(Tbl歷史,MAX(1,ROWS(Tbl歷史)-11+1),7),"")</f>
        <v/>
      </c>
      <c r="V52" s="84">
        <f>IFERROR(INDEX(Tbl歷史,MAX(1,ROWS(Tbl歷史)-11+2),7),"")</f>
        <v/>
      </c>
      <c r="W52" s="84">
        <f>IFERROR(INDEX(Tbl歷史,MAX(1,ROWS(Tbl歷史)-11+3),7),"")</f>
        <v/>
      </c>
      <c r="X52" s="84">
        <f>IFERROR(INDEX(Tbl歷史,MAX(1,ROWS(Tbl歷史)-11+4),7),"")</f>
        <v/>
      </c>
      <c r="Y52" s="84">
        <f>IFERROR(INDEX(Tbl歷史,MAX(1,ROWS(Tbl歷史)-11+5),7),"")</f>
        <v/>
      </c>
      <c r="Z52" s="84">
        <f>IFERROR(INDEX(Tbl歷史,MAX(1,ROWS(Tbl歷史)-11+6),7),"")</f>
        <v/>
      </c>
      <c r="AA52" s="84">
        <f>IFERROR(INDEX(Tbl歷史,MAX(1,ROWS(Tbl歷史)-11+7),7),"")</f>
        <v/>
      </c>
      <c r="AB52" s="84">
        <f>IFERROR(INDEX(Tbl歷史,MAX(1,ROWS(Tbl歷史)-11+8),7),"")</f>
        <v/>
      </c>
      <c r="AC52" s="84">
        <f>IFERROR(INDEX(Tbl歷史,MAX(1,ROWS(Tbl歷史)-11+9),7),"")</f>
        <v/>
      </c>
      <c r="AD52" s="84">
        <f>IFERROR(INDEX(Tbl歷史,MAX(1,ROWS(Tbl歷史)-11+10),7),"")</f>
        <v/>
      </c>
      <c r="AE52" s="84">
        <f>IFERROR(INDEX(Tbl歷史,MAX(1,ROWS(Tbl歷史)-11+11),7),"")</f>
        <v/>
      </c>
      <c r="AF52" s="83">
        <f>IF(OR(NOT(ISNUMBER(T52)),MAX($T52:$AE52)=MIN($T52:$AE52)),IF(ISNUMBER(T52),"▄",""),CHOOSE(1+MIN(7,MAX(0,ROUND((T52-MIN($T52:$AE52))/(MAX($T52:$AE52)-MIN($T52:$AE52))*7,0))),"▁","▂","▃","▄","▅","▆","▇","█"))</f>
        <v/>
      </c>
      <c r="AG52" s="83">
        <f>IF(OR(NOT(ISNUMBER(U52)),MAX($T52:$AE52)=MIN($T52:$AE52)),IF(ISNUMBER(U52),"▄",""),CHOOSE(1+MIN(7,MAX(0,ROUND((U52-MIN($T52:$AE52))/(MAX($T52:$AE52)-MIN($T52:$AE52))*7,0))),"▁","▂","▃","▄","▅","▆","▇","█"))</f>
        <v/>
      </c>
      <c r="AH52" s="83">
        <f>IF(OR(NOT(ISNUMBER(V52)),MAX($T52:$AE52)=MIN($T52:$AE52)),IF(ISNUMBER(V52),"▄",""),CHOOSE(1+MIN(7,MAX(0,ROUND((V52-MIN($T52:$AE52))/(MAX($T52:$AE52)-MIN($T52:$AE52))*7,0))),"▁","▂","▃","▄","▅","▆","▇","█"))</f>
        <v/>
      </c>
      <c r="AI52" s="83">
        <f>IF(OR(NOT(ISNUMBER(W52)),MAX($T52:$AE52)=MIN($T52:$AE52)),IF(ISNUMBER(W52),"▄",""),CHOOSE(1+MIN(7,MAX(0,ROUND((W52-MIN($T52:$AE52))/(MAX($T52:$AE52)-MIN($T52:$AE52))*7,0))),"▁","▂","▃","▄","▅","▆","▇","█"))</f>
        <v/>
      </c>
      <c r="AJ52" s="83">
        <f>IF(OR(NOT(ISNUMBER(X52)),MAX($T52:$AE52)=MIN($T52:$AE52)),IF(ISNUMBER(X52),"▄",""),CHOOSE(1+MIN(7,MAX(0,ROUND((X52-MIN($T52:$AE52))/(MAX($T52:$AE52)-MIN($T52:$AE52))*7,0))),"▁","▂","▃","▄","▅","▆","▇","█"))</f>
        <v/>
      </c>
      <c r="AK52" s="83">
        <f>IF(OR(NOT(ISNUMBER(Y52)),MAX($T52:$AE52)=MIN($T52:$AE52)),IF(ISNUMBER(Y52),"▄",""),CHOOSE(1+MIN(7,MAX(0,ROUND((Y52-MIN($T52:$AE52))/(MAX($T52:$AE52)-MIN($T52:$AE52))*7,0))),"▁","▂","▃","▄","▅","▆","▇","█"))</f>
        <v/>
      </c>
      <c r="AL52" s="83">
        <f>IF(OR(NOT(ISNUMBER(Z52)),MAX($T52:$AE52)=MIN($T52:$AE52)),IF(ISNUMBER(Z52),"▄",""),CHOOSE(1+MIN(7,MAX(0,ROUND((Z52-MIN($T52:$AE52))/(MAX($T52:$AE52)-MIN($T52:$AE52))*7,0))),"▁","▂","▃","▄","▅","▆","▇","█"))</f>
        <v/>
      </c>
      <c r="AM52" s="83">
        <f>IF(OR(NOT(ISNUMBER(AA52)),MAX($T52:$AE52)=MIN($T52:$AE52)),IF(ISNUMBER(AA52),"▄",""),CHOOSE(1+MIN(7,MAX(0,ROUND((AA52-MIN($T52:$AE52))/(MAX($T52:$AE52)-MIN($T52:$AE52))*7,0))),"▁","▂","▃","▄","▅","▆","▇","█"))</f>
        <v/>
      </c>
      <c r="AN52" s="83">
        <f>IF(OR(NOT(ISNUMBER(AB52)),MAX($T52:$AE52)=MIN($T52:$AE52)),IF(ISNUMBER(AB52),"▄",""),CHOOSE(1+MIN(7,MAX(0,ROUND((AB52-MIN($T52:$AE52))/(MAX($T52:$AE52)-MIN($T52:$AE52))*7,0))),"▁","▂","▃","▄","▅","▆","▇","█"))</f>
        <v/>
      </c>
      <c r="AO52" s="83">
        <f>IF(OR(NOT(ISNUMBER(AC52)),MAX($T52:$AE52)=MIN($T52:$AE52)),IF(ISNUMBER(AC52),"▄",""),CHOOSE(1+MIN(7,MAX(0,ROUND((AC52-MIN($T52:$AE52))/(MAX($T52:$AE52)-MIN($T52:$AE52))*7,0))),"▁","▂","▃","▄","▅","▆","▇","█"))</f>
        <v/>
      </c>
      <c r="AP52" s="83">
        <f>IF(OR(NOT(ISNUMBER(AD52)),MAX($T52:$AE52)=MIN($T52:$AE52)),IF(ISNUMBER(AD52),"▄",""),CHOOSE(1+MIN(7,MAX(0,ROUND((AD52-MIN($T52:$AE52))/(MAX($T52:$AE52)-MIN($T52:$AE52))*7,0))),"▁","▂","▃","▄","▅","▆","▇","█"))</f>
        <v/>
      </c>
      <c r="AQ52" s="83">
        <f>IF(OR(NOT(ISNUMBER(AE52)),MAX($T52:$AE52)=MIN($T52:$AE52)),IF(ISNUMBER(AE52),"▄",""),CHOOSE(1+MIN(7,MAX(0,ROUND((AE52-MIN($T52:$AE52))/(MAX($T52:$AE52)-MIN($T52:$AE52))*7,0))),"▁","▂","▃","▄","▅","▆","▇","█"))</f>
        <v/>
      </c>
      <c r="AR52" s="85">
        <f>IFERROR(CONCAT($AF52:$AQ52),"")</f>
        <v/>
      </c>
    </row>
    <row r="53" hidden="1">
      <c r="R53" s="83" t="inlineStr">
        <is>
          <t>04 毒調率</t>
        </is>
      </c>
      <c r="S53" s="83">
        <f>E13</f>
        <v/>
      </c>
      <c r="T53" s="84">
        <f>IFERROR(INDEX(Tbl歷史,MAX(1,ROWS(Tbl歷史)-11+0),10),"")</f>
        <v/>
      </c>
      <c r="U53" s="84">
        <f>IFERROR(INDEX(Tbl歷史,MAX(1,ROWS(Tbl歷史)-11+1),10),"")</f>
        <v/>
      </c>
      <c r="V53" s="84">
        <f>IFERROR(INDEX(Tbl歷史,MAX(1,ROWS(Tbl歷史)-11+2),10),"")</f>
        <v/>
      </c>
      <c r="W53" s="84">
        <f>IFERROR(INDEX(Tbl歷史,MAX(1,ROWS(Tbl歷史)-11+3),10),"")</f>
        <v/>
      </c>
      <c r="X53" s="84">
        <f>IFERROR(INDEX(Tbl歷史,MAX(1,ROWS(Tbl歷史)-11+4),10),"")</f>
        <v/>
      </c>
      <c r="Y53" s="84">
        <f>IFERROR(INDEX(Tbl歷史,MAX(1,ROWS(Tbl歷史)-11+5),10),"")</f>
        <v/>
      </c>
      <c r="Z53" s="84">
        <f>IFERROR(INDEX(Tbl歷史,MAX(1,ROWS(Tbl歷史)-11+6),10),"")</f>
        <v/>
      </c>
      <c r="AA53" s="84">
        <f>IFERROR(INDEX(Tbl歷史,MAX(1,ROWS(Tbl歷史)-11+7),10),"")</f>
        <v/>
      </c>
      <c r="AB53" s="84">
        <f>IFERROR(INDEX(Tbl歷史,MAX(1,ROWS(Tbl歷史)-11+8),10),"")</f>
        <v/>
      </c>
      <c r="AC53" s="84">
        <f>IFERROR(INDEX(Tbl歷史,MAX(1,ROWS(Tbl歷史)-11+9),10),"")</f>
        <v/>
      </c>
      <c r="AD53" s="84">
        <f>IFERROR(INDEX(Tbl歷史,MAX(1,ROWS(Tbl歷史)-11+10),10),"")</f>
        <v/>
      </c>
      <c r="AE53" s="84">
        <f>IFERROR(INDEX(Tbl歷史,MAX(1,ROWS(Tbl歷史)-11+11),10),"")</f>
        <v/>
      </c>
      <c r="AF53" s="83">
        <f>IF(OR(NOT(ISNUMBER(T53)),MAX($T53:$AE53)=MIN($T53:$AE53)),IF(ISNUMBER(T53),"▄",""),CHOOSE(1+MIN(7,MAX(0,ROUND((T53-MIN($T53:$AE53))/(MAX($T53:$AE53)-MIN($T53:$AE53))*7,0))),"▁","▂","▃","▄","▅","▆","▇","█"))</f>
        <v/>
      </c>
      <c r="AG53" s="83">
        <f>IF(OR(NOT(ISNUMBER(U53)),MAX($T53:$AE53)=MIN($T53:$AE53)),IF(ISNUMBER(U53),"▄",""),CHOOSE(1+MIN(7,MAX(0,ROUND((U53-MIN($T53:$AE53))/(MAX($T53:$AE53)-MIN($T53:$AE53))*7,0))),"▁","▂","▃","▄","▅","▆","▇","█"))</f>
        <v/>
      </c>
      <c r="AH53" s="83">
        <f>IF(OR(NOT(ISNUMBER(V53)),MAX($T53:$AE53)=MIN($T53:$AE53)),IF(ISNUMBER(V53),"▄",""),CHOOSE(1+MIN(7,MAX(0,ROUND((V53-MIN($T53:$AE53))/(MAX($T53:$AE53)-MIN($T53:$AE53))*7,0))),"▁","▂","▃","▄","▅","▆","▇","█"))</f>
        <v/>
      </c>
      <c r="AI53" s="83">
        <f>IF(OR(NOT(ISNUMBER(W53)),MAX($T53:$AE53)=MIN($T53:$AE53)),IF(ISNUMBER(W53),"▄",""),CHOOSE(1+MIN(7,MAX(0,ROUND((W53-MIN($T53:$AE53))/(MAX($T53:$AE53)-MIN($T53:$AE53))*7,0))),"▁","▂","▃","▄","▅","▆","▇","█"))</f>
        <v/>
      </c>
      <c r="AJ53" s="83">
        <f>IF(OR(NOT(ISNUMBER(X53)),MAX($T53:$AE53)=MIN($T53:$AE53)),IF(ISNUMBER(X53),"▄",""),CHOOSE(1+MIN(7,MAX(0,ROUND((X53-MIN($T53:$AE53))/(MAX($T53:$AE53)-MIN($T53:$AE53))*7,0))),"▁","▂","▃","▄","▅","▆","▇","█"))</f>
        <v/>
      </c>
      <c r="AK53" s="83">
        <f>IF(OR(NOT(ISNUMBER(Y53)),MAX($T53:$AE53)=MIN($T53:$AE53)),IF(ISNUMBER(Y53),"▄",""),CHOOSE(1+MIN(7,MAX(0,ROUND((Y53-MIN($T53:$AE53))/(MAX($T53:$AE53)-MIN($T53:$AE53))*7,0))),"▁","▂","▃","▄","▅","▆","▇","█"))</f>
        <v/>
      </c>
      <c r="AL53" s="83">
        <f>IF(OR(NOT(ISNUMBER(Z53)),MAX($T53:$AE53)=MIN($T53:$AE53)),IF(ISNUMBER(Z53),"▄",""),CHOOSE(1+MIN(7,MAX(0,ROUND((Z53-MIN($T53:$AE53))/(MAX($T53:$AE53)-MIN($T53:$AE53))*7,0))),"▁","▂","▃","▄","▅","▆","▇","█"))</f>
        <v/>
      </c>
      <c r="AM53" s="83">
        <f>IF(OR(NOT(ISNUMBER(AA53)),MAX($T53:$AE53)=MIN($T53:$AE53)),IF(ISNUMBER(AA53),"▄",""),CHOOSE(1+MIN(7,MAX(0,ROUND((AA53-MIN($T53:$AE53))/(MAX($T53:$AE53)-MIN($T53:$AE53))*7,0))),"▁","▂","▃","▄","▅","▆","▇","█"))</f>
        <v/>
      </c>
      <c r="AN53" s="83">
        <f>IF(OR(NOT(ISNUMBER(AB53)),MAX($T53:$AE53)=MIN($T53:$AE53)),IF(ISNUMBER(AB53),"▄",""),CHOOSE(1+MIN(7,MAX(0,ROUND((AB53-MIN($T53:$AE53))/(MAX($T53:$AE53)-MIN($T53:$AE53))*7,0))),"▁","▂","▃","▄","▅","▆","▇","█"))</f>
        <v/>
      </c>
      <c r="AO53" s="83">
        <f>IF(OR(NOT(ISNUMBER(AC53)),MAX($T53:$AE53)=MIN($T53:$AE53)),IF(ISNUMBER(AC53),"▄",""),CHOOSE(1+MIN(7,MAX(0,ROUND((AC53-MIN($T53:$AE53))/(MAX($T53:$AE53)-MIN($T53:$AE53))*7,0))),"▁","▂","▃","▄","▅","▆","▇","█"))</f>
        <v/>
      </c>
      <c r="AP53" s="83">
        <f>IF(OR(NOT(ISNUMBER(AD53)),MAX($T53:$AE53)=MIN($T53:$AE53)),IF(ISNUMBER(AD53),"▄",""),CHOOSE(1+MIN(7,MAX(0,ROUND((AD53-MIN($T53:$AE53))/(MAX($T53:$AE53)-MIN($T53:$AE53))*7,0))),"▁","▂","▃","▄","▅","▆","▇","█"))</f>
        <v/>
      </c>
      <c r="AQ53" s="83">
        <f>IF(OR(NOT(ISNUMBER(AE53)),MAX($T53:$AE53)=MIN($T53:$AE53)),IF(ISNUMBER(AE53),"▄",""),CHOOSE(1+MIN(7,MAX(0,ROUND((AE53-MIN($T53:$AE53))/(MAX($T53:$AE53)-MIN($T53:$AE53))*7,0))),"▁","▂","▃","▄","▅","▆","▇","█"))</f>
        <v/>
      </c>
      <c r="AR53" s="85">
        <f>IFERROR(CONCAT($AF53:$AQ53),"")</f>
        <v/>
      </c>
    </row>
    <row r="54" hidden="1">
      <c r="R54" s="83" t="inlineStr">
        <is>
          <t>05 未到驗人口</t>
        </is>
      </c>
      <c r="S54" s="83">
        <f>K13</f>
        <v/>
      </c>
      <c r="T54" s="86">
        <f>IFERROR(INDEX(Tbl歷史,MAX(1,ROWS(Tbl歷史)-11+0),11),"")</f>
        <v/>
      </c>
      <c r="U54" s="86">
        <f>IFERROR(INDEX(Tbl歷史,MAX(1,ROWS(Tbl歷史)-11+1),11),"")</f>
        <v/>
      </c>
      <c r="V54" s="86">
        <f>IFERROR(INDEX(Tbl歷史,MAX(1,ROWS(Tbl歷史)-11+2),11),"")</f>
        <v/>
      </c>
      <c r="W54" s="86">
        <f>IFERROR(INDEX(Tbl歷史,MAX(1,ROWS(Tbl歷史)-11+3),11),"")</f>
        <v/>
      </c>
      <c r="X54" s="86">
        <f>IFERROR(INDEX(Tbl歷史,MAX(1,ROWS(Tbl歷史)-11+4),11),"")</f>
        <v/>
      </c>
      <c r="Y54" s="86">
        <f>IFERROR(INDEX(Tbl歷史,MAX(1,ROWS(Tbl歷史)-11+5),11),"")</f>
        <v/>
      </c>
      <c r="Z54" s="86">
        <f>IFERROR(INDEX(Tbl歷史,MAX(1,ROWS(Tbl歷史)-11+6),11),"")</f>
        <v/>
      </c>
      <c r="AA54" s="86">
        <f>IFERROR(INDEX(Tbl歷史,MAX(1,ROWS(Tbl歷史)-11+7),11),"")</f>
        <v/>
      </c>
      <c r="AB54" s="86">
        <f>IFERROR(INDEX(Tbl歷史,MAX(1,ROWS(Tbl歷史)-11+8),11),"")</f>
        <v/>
      </c>
      <c r="AC54" s="86">
        <f>IFERROR(INDEX(Tbl歷史,MAX(1,ROWS(Tbl歷史)-11+9),11),"")</f>
        <v/>
      </c>
      <c r="AD54" s="86">
        <f>IFERROR(INDEX(Tbl歷史,MAX(1,ROWS(Tbl歷史)-11+10),11),"")</f>
        <v/>
      </c>
      <c r="AE54" s="86">
        <f>IFERROR(INDEX(Tbl歷史,MAX(1,ROWS(Tbl歷史)-11+11),11),"")</f>
        <v/>
      </c>
      <c r="AF54" s="83">
        <f>IF(OR(NOT(ISNUMBER(T54)),MAX($T54:$AE54)=MIN($T54:$AE54)),IF(ISNUMBER(T54),"▄",""),CHOOSE(1+MIN(7,MAX(0,ROUND((T54-MIN($T54:$AE54))/(MAX($T54:$AE54)-MIN($T54:$AE54))*7,0))),"▁","▂","▃","▄","▅","▆","▇","█"))</f>
        <v/>
      </c>
      <c r="AG54" s="83">
        <f>IF(OR(NOT(ISNUMBER(U54)),MAX($T54:$AE54)=MIN($T54:$AE54)),IF(ISNUMBER(U54),"▄",""),CHOOSE(1+MIN(7,MAX(0,ROUND((U54-MIN($T54:$AE54))/(MAX($T54:$AE54)-MIN($T54:$AE54))*7,0))),"▁","▂","▃","▄","▅","▆","▇","█"))</f>
        <v/>
      </c>
      <c r="AH54" s="83">
        <f>IF(OR(NOT(ISNUMBER(V54)),MAX($T54:$AE54)=MIN($T54:$AE54)),IF(ISNUMBER(V54),"▄",""),CHOOSE(1+MIN(7,MAX(0,ROUND((V54-MIN($T54:$AE54))/(MAX($T54:$AE54)-MIN($T54:$AE54))*7,0))),"▁","▂","▃","▄","▅","▆","▇","█"))</f>
        <v/>
      </c>
      <c r="AI54" s="83">
        <f>IF(OR(NOT(ISNUMBER(W54)),MAX($T54:$AE54)=MIN($T54:$AE54)),IF(ISNUMBER(W54),"▄",""),CHOOSE(1+MIN(7,MAX(0,ROUND((W54-MIN($T54:$AE54))/(MAX($T54:$AE54)-MIN($T54:$AE54))*7,0))),"▁","▂","▃","▄","▅","▆","▇","█"))</f>
        <v/>
      </c>
      <c r="AJ54" s="83">
        <f>IF(OR(NOT(ISNUMBER(X54)),MAX($T54:$AE54)=MIN($T54:$AE54)),IF(ISNUMBER(X54),"▄",""),CHOOSE(1+MIN(7,MAX(0,ROUND((X54-MIN($T54:$AE54))/(MAX($T54:$AE54)-MIN($T54:$AE54))*7,0))),"▁","▂","▃","▄","▅","▆","▇","█"))</f>
        <v/>
      </c>
      <c r="AK54" s="83">
        <f>IF(OR(NOT(ISNUMBER(Y54)),MAX($T54:$AE54)=MIN($T54:$AE54)),IF(ISNUMBER(Y54),"▄",""),CHOOSE(1+MIN(7,MAX(0,ROUND((Y54-MIN($T54:$AE54))/(MAX($T54:$AE54)-MIN($T54:$AE54))*7,0))),"▁","▂","▃","▄","▅","▆","▇","█"))</f>
        <v/>
      </c>
      <c r="AL54" s="83">
        <f>IF(OR(NOT(ISNUMBER(Z54)),MAX($T54:$AE54)=MIN($T54:$AE54)),IF(ISNUMBER(Z54),"▄",""),CHOOSE(1+MIN(7,MAX(0,ROUND((Z54-MIN($T54:$AE54))/(MAX($T54:$AE54)-MIN($T54:$AE54))*7,0))),"▁","▂","▃","▄","▅","▆","▇","█"))</f>
        <v/>
      </c>
      <c r="AM54" s="83">
        <f>IF(OR(NOT(ISNUMBER(AA54)),MAX($T54:$AE54)=MIN($T54:$AE54)),IF(ISNUMBER(AA54),"▄",""),CHOOSE(1+MIN(7,MAX(0,ROUND((AA54-MIN($T54:$AE54))/(MAX($T54:$AE54)-MIN($T54:$AE54))*7,0))),"▁","▂","▃","▄","▅","▆","▇","█"))</f>
        <v/>
      </c>
      <c r="AN54" s="83">
        <f>IF(OR(NOT(ISNUMBER(AB54)),MAX($T54:$AE54)=MIN($T54:$AE54)),IF(ISNUMBER(AB54),"▄",""),CHOOSE(1+MIN(7,MAX(0,ROUND((AB54-MIN($T54:$AE54))/(MAX($T54:$AE54)-MIN($T54:$AE54))*7,0))),"▁","▂","▃","▄","▅","▆","▇","█"))</f>
        <v/>
      </c>
      <c r="AO54" s="83">
        <f>IF(OR(NOT(ISNUMBER(AC54)),MAX($T54:$AE54)=MIN($T54:$AE54)),IF(ISNUMBER(AC54),"▄",""),CHOOSE(1+MIN(7,MAX(0,ROUND((AC54-MIN($T54:$AE54))/(MAX($T54:$AE54)-MIN($T54:$AE54))*7,0))),"▁","▂","▃","▄","▅","▆","▇","█"))</f>
        <v/>
      </c>
      <c r="AP54" s="83">
        <f>IF(OR(NOT(ISNUMBER(AD54)),MAX($T54:$AE54)=MIN($T54:$AE54)),IF(ISNUMBER(AD54),"▄",""),CHOOSE(1+MIN(7,MAX(0,ROUND((AD54-MIN($T54:$AE54))/(MAX($T54:$AE54)-MIN($T54:$AE54))*7,0))),"▁","▂","▃","▄","▅","▆","▇","█"))</f>
        <v/>
      </c>
      <c r="AQ54" s="83">
        <f>IF(OR(NOT(ISNUMBER(AE54)),MAX($T54:$AE54)=MIN($T54:$AE54)),IF(ISNUMBER(AE54),"▄",""),CHOOSE(1+MIN(7,MAX(0,ROUND((AE54-MIN($T54:$AE54))/(MAX($T54:$AE54)-MIN($T54:$AE54))*7,0))),"▁","▂","▃","▄","▅","▆","▇","█"))</f>
        <v/>
      </c>
      <c r="AR54" s="85">
        <f>IFERROR(CONCAT($AF54:$AQ54),"")</f>
        <v/>
      </c>
    </row>
    <row r="55" hidden="1">
      <c r="R55" s="83" t="inlineStr">
        <is>
          <t>06 未破案件</t>
        </is>
      </c>
      <c r="S55" s="83">
        <f>Q13</f>
        <v/>
      </c>
      <c r="T55" s="86">
        <f>IFERROR(INDEX(Tbl歷史,MAX(1,ROWS(Tbl歷史)-11+0),3),"")</f>
        <v/>
      </c>
      <c r="U55" s="86">
        <f>IFERROR(INDEX(Tbl歷史,MAX(1,ROWS(Tbl歷史)-11+1),3),"")</f>
        <v/>
      </c>
      <c r="V55" s="86">
        <f>IFERROR(INDEX(Tbl歷史,MAX(1,ROWS(Tbl歷史)-11+2),3),"")</f>
        <v/>
      </c>
      <c r="W55" s="86">
        <f>IFERROR(INDEX(Tbl歷史,MAX(1,ROWS(Tbl歷史)-11+3),3),"")</f>
        <v/>
      </c>
      <c r="X55" s="86">
        <f>IFERROR(INDEX(Tbl歷史,MAX(1,ROWS(Tbl歷史)-11+4),3),"")</f>
        <v/>
      </c>
      <c r="Y55" s="86">
        <f>IFERROR(INDEX(Tbl歷史,MAX(1,ROWS(Tbl歷史)-11+5),3),"")</f>
        <v/>
      </c>
      <c r="Z55" s="86">
        <f>IFERROR(INDEX(Tbl歷史,MAX(1,ROWS(Tbl歷史)-11+6),3),"")</f>
        <v/>
      </c>
      <c r="AA55" s="86">
        <f>IFERROR(INDEX(Tbl歷史,MAX(1,ROWS(Tbl歷史)-11+7),3),"")</f>
        <v/>
      </c>
      <c r="AB55" s="86">
        <f>IFERROR(INDEX(Tbl歷史,MAX(1,ROWS(Tbl歷史)-11+8),3),"")</f>
        <v/>
      </c>
      <c r="AC55" s="86">
        <f>IFERROR(INDEX(Tbl歷史,MAX(1,ROWS(Tbl歷史)-11+9),3),"")</f>
        <v/>
      </c>
      <c r="AD55" s="86">
        <f>IFERROR(INDEX(Tbl歷史,MAX(1,ROWS(Tbl歷史)-11+10),3),"")</f>
        <v/>
      </c>
      <c r="AE55" s="86">
        <f>IFERROR(INDEX(Tbl歷史,MAX(1,ROWS(Tbl歷史)-11+11),3),"")</f>
        <v/>
      </c>
      <c r="AF55" s="83">
        <f>IF(OR(NOT(ISNUMBER(T55)),MAX($T55:$AE55)=MIN($T55:$AE55)),IF(ISNUMBER(T55),"▄",""),CHOOSE(1+MIN(7,MAX(0,ROUND((T55-MIN($T55:$AE55))/(MAX($T55:$AE55)-MIN($T55:$AE55))*7,0))),"▁","▂","▃","▄","▅","▆","▇","█"))</f>
        <v/>
      </c>
      <c r="AG55" s="83">
        <f>IF(OR(NOT(ISNUMBER(U55)),MAX($T55:$AE55)=MIN($T55:$AE55)),IF(ISNUMBER(U55),"▄",""),CHOOSE(1+MIN(7,MAX(0,ROUND((U55-MIN($T55:$AE55))/(MAX($T55:$AE55)-MIN($T55:$AE55))*7,0))),"▁","▂","▃","▄","▅","▆","▇","█"))</f>
        <v/>
      </c>
      <c r="AH55" s="83">
        <f>IF(OR(NOT(ISNUMBER(V55)),MAX($T55:$AE55)=MIN($T55:$AE55)),IF(ISNUMBER(V55),"▄",""),CHOOSE(1+MIN(7,MAX(0,ROUND((V55-MIN($T55:$AE55))/(MAX($T55:$AE55)-MIN($T55:$AE55))*7,0))),"▁","▂","▃","▄","▅","▆","▇","█"))</f>
        <v/>
      </c>
      <c r="AI55" s="83">
        <f>IF(OR(NOT(ISNUMBER(W55)),MAX($T55:$AE55)=MIN($T55:$AE55)),IF(ISNUMBER(W55),"▄",""),CHOOSE(1+MIN(7,MAX(0,ROUND((W55-MIN($T55:$AE55))/(MAX($T55:$AE55)-MIN($T55:$AE55))*7,0))),"▁","▂","▃","▄","▅","▆","▇","█"))</f>
        <v/>
      </c>
      <c r="AJ55" s="83">
        <f>IF(OR(NOT(ISNUMBER(X55)),MAX($T55:$AE55)=MIN($T55:$AE55)),IF(ISNUMBER(X55),"▄",""),CHOOSE(1+MIN(7,MAX(0,ROUND((X55-MIN($T55:$AE55))/(MAX($T55:$AE55)-MIN($T55:$AE55))*7,0))),"▁","▂","▃","▄","▅","▆","▇","█"))</f>
        <v/>
      </c>
      <c r="AK55" s="83">
        <f>IF(OR(NOT(ISNUMBER(Y55)),MAX($T55:$AE55)=MIN($T55:$AE55)),IF(ISNUMBER(Y55),"▄",""),CHOOSE(1+MIN(7,MAX(0,ROUND((Y55-MIN($T55:$AE55))/(MAX($T55:$AE55)-MIN($T55:$AE55))*7,0))),"▁","▂","▃","▄","▅","▆","▇","█"))</f>
        <v/>
      </c>
      <c r="AL55" s="83">
        <f>IF(OR(NOT(ISNUMBER(Z55)),MAX($T55:$AE55)=MIN($T55:$AE55)),IF(ISNUMBER(Z55),"▄",""),CHOOSE(1+MIN(7,MAX(0,ROUND((Z55-MIN($T55:$AE55))/(MAX($T55:$AE55)-MIN($T55:$AE55))*7,0))),"▁","▂","▃","▄","▅","▆","▇","█"))</f>
        <v/>
      </c>
      <c r="AM55" s="83">
        <f>IF(OR(NOT(ISNUMBER(AA55)),MAX($T55:$AE55)=MIN($T55:$AE55)),IF(ISNUMBER(AA55),"▄",""),CHOOSE(1+MIN(7,MAX(0,ROUND((AA55-MIN($T55:$AE55))/(MAX($T55:$AE55)-MIN($T55:$AE55))*7,0))),"▁","▂","▃","▄","▅","▆","▇","█"))</f>
        <v/>
      </c>
      <c r="AN55" s="83">
        <f>IF(OR(NOT(ISNUMBER(AB55)),MAX($T55:$AE55)=MIN($T55:$AE55)),IF(ISNUMBER(AB55),"▄",""),CHOOSE(1+MIN(7,MAX(0,ROUND((AB55-MIN($T55:$AE55))/(MAX($T55:$AE55)-MIN($T55:$AE55))*7,0))),"▁","▂","▃","▄","▅","▆","▇","█"))</f>
        <v/>
      </c>
      <c r="AO55" s="83">
        <f>IF(OR(NOT(ISNUMBER(AC55)),MAX($T55:$AE55)=MIN($T55:$AE55)),IF(ISNUMBER(AC55),"▄",""),CHOOSE(1+MIN(7,MAX(0,ROUND((AC55-MIN($T55:$AE55))/(MAX($T55:$AE55)-MIN($T55:$AE55))*7,0))),"▁","▂","▃","▄","▅","▆","▇","█"))</f>
        <v/>
      </c>
      <c r="AP55" s="83">
        <f>IF(OR(NOT(ISNUMBER(AD55)),MAX($T55:$AE55)=MIN($T55:$AE55)),IF(ISNUMBER(AD55),"▄",""),CHOOSE(1+MIN(7,MAX(0,ROUND((AD55-MIN($T55:$AE55))/(MAX($T55:$AE55)-MIN($T55:$AE55))*7,0))),"▁","▂","▃","▄","▅","▆","▇","█"))</f>
        <v/>
      </c>
      <c r="AQ55" s="83">
        <f>IF(OR(NOT(ISNUMBER(AE55)),MAX($T55:$AE55)=MIN($T55:$AE55)),IF(ISNUMBER(AE55),"▄",""),CHOOSE(1+MIN(7,MAX(0,ROUND((AE55-MIN($T55:$AE55))/(MAX($T55:$AE55)-MIN($T55:$AE55))*7,0))),"▁","▂","▃","▄","▅","▆","▇","█"))</f>
        <v/>
      </c>
      <c r="AR55" s="85">
        <f>IFERROR(CONCAT($AF55:$AQ55),"")</f>
        <v/>
      </c>
    </row>
    <row r="56" hidden="1">
      <c r="R56" s="83" t="inlineStr">
        <is>
          <t>07 交通達成率</t>
        </is>
      </c>
      <c r="S56" s="83">
        <f>E18</f>
        <v/>
      </c>
      <c r="T56" s="84">
        <f>IFERROR(INDEX(Tbl歷史,MAX(1,ROWS(Tbl歷史)-11+0),12),"")</f>
        <v/>
      </c>
      <c r="U56" s="84">
        <f>IFERROR(INDEX(Tbl歷史,MAX(1,ROWS(Tbl歷史)-11+1),12),"")</f>
        <v/>
      </c>
      <c r="V56" s="84">
        <f>IFERROR(INDEX(Tbl歷史,MAX(1,ROWS(Tbl歷史)-11+2),12),"")</f>
        <v/>
      </c>
      <c r="W56" s="84">
        <f>IFERROR(INDEX(Tbl歷史,MAX(1,ROWS(Tbl歷史)-11+3),12),"")</f>
        <v/>
      </c>
      <c r="X56" s="84">
        <f>IFERROR(INDEX(Tbl歷史,MAX(1,ROWS(Tbl歷史)-11+4),12),"")</f>
        <v/>
      </c>
      <c r="Y56" s="84">
        <f>IFERROR(INDEX(Tbl歷史,MAX(1,ROWS(Tbl歷史)-11+5),12),"")</f>
        <v/>
      </c>
      <c r="Z56" s="84">
        <f>IFERROR(INDEX(Tbl歷史,MAX(1,ROWS(Tbl歷史)-11+6),12),"")</f>
        <v/>
      </c>
      <c r="AA56" s="84">
        <f>IFERROR(INDEX(Tbl歷史,MAX(1,ROWS(Tbl歷史)-11+7),12),"")</f>
        <v/>
      </c>
      <c r="AB56" s="84">
        <f>IFERROR(INDEX(Tbl歷史,MAX(1,ROWS(Tbl歷史)-11+8),12),"")</f>
        <v/>
      </c>
      <c r="AC56" s="84">
        <f>IFERROR(INDEX(Tbl歷史,MAX(1,ROWS(Tbl歷史)-11+9),12),"")</f>
        <v/>
      </c>
      <c r="AD56" s="84">
        <f>IFERROR(INDEX(Tbl歷史,MAX(1,ROWS(Tbl歷史)-11+10),12),"")</f>
        <v/>
      </c>
      <c r="AE56" s="84">
        <f>IFERROR(INDEX(Tbl歷史,MAX(1,ROWS(Tbl歷史)-11+11),12),"")</f>
        <v/>
      </c>
      <c r="AF56" s="83">
        <f>IF(OR(NOT(ISNUMBER(T56)),MAX($T56:$AE56)=MIN($T56:$AE56)),IF(ISNUMBER(T56),"▄",""),CHOOSE(1+MIN(7,MAX(0,ROUND((T56-MIN($T56:$AE56))/(MAX($T56:$AE56)-MIN($T56:$AE56))*7,0))),"▁","▂","▃","▄","▅","▆","▇","█"))</f>
        <v/>
      </c>
      <c r="AG56" s="83">
        <f>IF(OR(NOT(ISNUMBER(U56)),MAX($T56:$AE56)=MIN($T56:$AE56)),IF(ISNUMBER(U56),"▄",""),CHOOSE(1+MIN(7,MAX(0,ROUND((U56-MIN($T56:$AE56))/(MAX($T56:$AE56)-MIN($T56:$AE56))*7,0))),"▁","▂","▃","▄","▅","▆","▇","█"))</f>
        <v/>
      </c>
      <c r="AH56" s="83">
        <f>IF(OR(NOT(ISNUMBER(V56)),MAX($T56:$AE56)=MIN($T56:$AE56)),IF(ISNUMBER(V56),"▄",""),CHOOSE(1+MIN(7,MAX(0,ROUND((V56-MIN($T56:$AE56))/(MAX($T56:$AE56)-MIN($T56:$AE56))*7,0))),"▁","▂","▃","▄","▅","▆","▇","█"))</f>
        <v/>
      </c>
      <c r="AI56" s="83">
        <f>IF(OR(NOT(ISNUMBER(W56)),MAX($T56:$AE56)=MIN($T56:$AE56)),IF(ISNUMBER(W56),"▄",""),CHOOSE(1+MIN(7,MAX(0,ROUND((W56-MIN($T56:$AE56))/(MAX($T56:$AE56)-MIN($T56:$AE56))*7,0))),"▁","▂","▃","▄","▅","▆","▇","█"))</f>
        <v/>
      </c>
      <c r="AJ56" s="83">
        <f>IF(OR(NOT(ISNUMBER(X56)),MAX($T56:$AE56)=MIN($T56:$AE56)),IF(ISNUMBER(X56),"▄",""),CHOOSE(1+MIN(7,MAX(0,ROUND((X56-MIN($T56:$AE56))/(MAX($T56:$AE56)-MIN($T56:$AE56))*7,0))),"▁","▂","▃","▄","▅","▆","▇","█"))</f>
        <v/>
      </c>
      <c r="AK56" s="83">
        <f>IF(OR(NOT(ISNUMBER(Y56)),MAX($T56:$AE56)=MIN($T56:$AE56)),IF(ISNUMBER(Y56),"▄",""),CHOOSE(1+MIN(7,MAX(0,ROUND((Y56-MIN($T56:$AE56))/(MAX($T56:$AE56)-MIN($T56:$AE56))*7,0))),"▁","▂","▃","▄","▅","▆","▇","█"))</f>
        <v/>
      </c>
      <c r="AL56" s="83">
        <f>IF(OR(NOT(ISNUMBER(Z56)),MAX($T56:$AE56)=MIN($T56:$AE56)),IF(ISNUMBER(Z56),"▄",""),CHOOSE(1+MIN(7,MAX(0,ROUND((Z56-MIN($T56:$AE56))/(MAX($T56:$AE56)-MIN($T56:$AE56))*7,0))),"▁","▂","▃","▄","▅","▆","▇","█"))</f>
        <v/>
      </c>
      <c r="AM56" s="83">
        <f>IF(OR(NOT(ISNUMBER(AA56)),MAX($T56:$AE56)=MIN($T56:$AE56)),IF(ISNUMBER(AA56),"▄",""),CHOOSE(1+MIN(7,MAX(0,ROUND((AA56-MIN($T56:$AE56))/(MAX($T56:$AE56)-MIN($T56:$AE56))*7,0))),"▁","▂","▃","▄","▅","▆","▇","█"))</f>
        <v/>
      </c>
      <c r="AN56" s="83">
        <f>IF(OR(NOT(ISNUMBER(AB56)),MAX($T56:$AE56)=MIN($T56:$AE56)),IF(ISNUMBER(AB56),"▄",""),CHOOSE(1+MIN(7,MAX(0,ROUND((AB56-MIN($T56:$AE56))/(MAX($T56:$AE56)-MIN($T56:$AE56))*7,0))),"▁","▂","▃","▄","▅","▆","▇","█"))</f>
        <v/>
      </c>
      <c r="AO56" s="83">
        <f>IF(OR(NOT(ISNUMBER(AC56)),MAX($T56:$AE56)=MIN($T56:$AE56)),IF(ISNUMBER(AC56),"▄",""),CHOOSE(1+MIN(7,MAX(0,ROUND((AC56-MIN($T56:$AE56))/(MAX($T56:$AE56)-MIN($T56:$AE56))*7,0))),"▁","▂","▃","▄","▅","▆","▇","█"))</f>
        <v/>
      </c>
      <c r="AP56" s="83">
        <f>IF(OR(NOT(ISNUMBER(AD56)),MAX($T56:$AE56)=MIN($T56:$AE56)),IF(ISNUMBER(AD56),"▄",""),CHOOSE(1+MIN(7,MAX(0,ROUND((AD56-MIN($T56:$AE56))/(MAX($T56:$AE56)-MIN($T56:$AE56))*7,0))),"▁","▂","▃","▄","▅","▆","▇","█"))</f>
        <v/>
      </c>
      <c r="AQ56" s="83">
        <f>IF(OR(NOT(ISNUMBER(AE56)),MAX($T56:$AE56)=MIN($T56:$AE56)),IF(ISNUMBER(AE56),"▄",""),CHOOSE(1+MIN(7,MAX(0,ROUND((AE56-MIN($T56:$AE56))/(MAX($T56:$AE56)-MIN($T56:$AE56))*7,0))),"▁","▂","▃","▄","▅","▆","▇","█"))</f>
        <v/>
      </c>
      <c r="AR56" s="85">
        <f>IFERROR(CONCAT($AF56:$AQ56),"")</f>
        <v/>
      </c>
    </row>
    <row r="57" hidden="1">
      <c r="R57" s="83" t="inlineStr">
        <is>
          <t>08 酒駕取締</t>
        </is>
      </c>
      <c r="S57" s="83">
        <f>K18</f>
        <v/>
      </c>
      <c r="T57" s="83" t="inlineStr"/>
      <c r="U57" s="83" t="inlineStr"/>
      <c r="V57" s="83" t="inlineStr"/>
      <c r="W57" s="83" t="inlineStr"/>
      <c r="X57" s="83" t="inlineStr"/>
      <c r="Y57" s="83" t="inlineStr"/>
      <c r="Z57" s="83" t="inlineStr"/>
      <c r="AA57" s="83" t="inlineStr"/>
      <c r="AB57" s="83" t="inlineStr"/>
      <c r="AC57" s="83" t="inlineStr"/>
      <c r="AD57" s="83" t="inlineStr"/>
      <c r="AE57" s="83" t="inlineStr"/>
      <c r="AF57" s="83" t="inlineStr"/>
      <c r="AG57" s="83" t="inlineStr"/>
      <c r="AH57" s="83" t="inlineStr"/>
      <c r="AI57" s="83" t="inlineStr"/>
      <c r="AJ57" s="83" t="inlineStr"/>
      <c r="AK57" s="83" t="inlineStr"/>
      <c r="AL57" s="83" t="inlineStr"/>
      <c r="AM57" s="83" t="inlineStr"/>
      <c r="AN57" s="83" t="inlineStr"/>
      <c r="AO57" s="83" t="inlineStr"/>
      <c r="AP57" s="83" t="inlineStr"/>
      <c r="AQ57" s="83" t="inlineStr"/>
      <c r="AR57" s="85">
        <f>"─ 待擴充 ─"</f>
        <v/>
      </c>
    </row>
    <row r="58" hidden="1">
      <c r="R58" s="83" t="inlineStr">
        <is>
          <t>09 闖紅燈取締</t>
        </is>
      </c>
      <c r="S58" s="83">
        <f>Q18</f>
        <v/>
      </c>
      <c r="T58" s="83" t="inlineStr"/>
      <c r="U58" s="83" t="inlineStr"/>
      <c r="V58" s="83" t="inlineStr"/>
      <c r="W58" s="83" t="inlineStr"/>
      <c r="X58" s="83" t="inlineStr"/>
      <c r="Y58" s="83" t="inlineStr"/>
      <c r="Z58" s="83" t="inlineStr"/>
      <c r="AA58" s="83" t="inlineStr"/>
      <c r="AB58" s="83" t="inlineStr"/>
      <c r="AC58" s="83" t="inlineStr"/>
      <c r="AD58" s="83" t="inlineStr"/>
      <c r="AE58" s="83" t="inlineStr"/>
      <c r="AF58" s="83" t="inlineStr"/>
      <c r="AG58" s="83" t="inlineStr"/>
      <c r="AH58" s="83" t="inlineStr"/>
      <c r="AI58" s="83" t="inlineStr"/>
      <c r="AJ58" s="83" t="inlineStr"/>
      <c r="AK58" s="83" t="inlineStr"/>
      <c r="AL58" s="83" t="inlineStr"/>
      <c r="AM58" s="83" t="inlineStr"/>
      <c r="AN58" s="83" t="inlineStr"/>
      <c r="AO58" s="83" t="inlineStr"/>
      <c r="AP58" s="83" t="inlineStr"/>
      <c r="AQ58" s="83" t="inlineStr"/>
      <c r="AR58" s="85">
        <f>"─ 待擴充 ─"</f>
        <v/>
      </c>
    </row>
    <row r="59" hidden="1"/>
    <row r="60" hidden="1"/>
    <row r="61" hidden="1"/>
    <row r="62" hidden="1"/>
    <row r="63" hidden="1"/>
    <row r="64" hidden="1"/>
    <row r="65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51">
    <mergeCell ref="A8:D8"/>
    <mergeCell ref="G21:K21"/>
    <mergeCell ref="M8:P8"/>
    <mergeCell ref="A24:E24"/>
    <mergeCell ref="A15:E15"/>
    <mergeCell ref="A11:E11"/>
    <mergeCell ref="G11:K11"/>
    <mergeCell ref="M9:Q9"/>
    <mergeCell ref="A1:Q1"/>
    <mergeCell ref="A13:D13"/>
    <mergeCell ref="A6:Q6"/>
    <mergeCell ref="M20:Q20"/>
    <mergeCell ref="A16:E16"/>
    <mergeCell ref="M11:Q11"/>
    <mergeCell ref="A25:E25"/>
    <mergeCell ref="G10:K10"/>
    <mergeCell ref="M10:Q10"/>
    <mergeCell ref="G19:K19"/>
    <mergeCell ref="A21:E21"/>
    <mergeCell ref="M16:Q16"/>
    <mergeCell ref="A26:E26"/>
    <mergeCell ref="M25:Q25"/>
    <mergeCell ref="G15:K15"/>
    <mergeCell ref="M15:Q15"/>
    <mergeCell ref="G8:J8"/>
    <mergeCell ref="M21:Q21"/>
    <mergeCell ref="G24:K24"/>
    <mergeCell ref="A2:Q2"/>
    <mergeCell ref="G14:K14"/>
    <mergeCell ref="A14:E14"/>
    <mergeCell ref="A23:Q23"/>
    <mergeCell ref="G26:K26"/>
    <mergeCell ref="M26:Q26"/>
    <mergeCell ref="G13:J13"/>
    <mergeCell ref="A18:D18"/>
    <mergeCell ref="G18:J18"/>
    <mergeCell ref="A20:E20"/>
    <mergeCell ref="G20:K20"/>
    <mergeCell ref="M24:Q24"/>
    <mergeCell ref="M13:P13"/>
    <mergeCell ref="A10:E10"/>
    <mergeCell ref="A4:Q4"/>
    <mergeCell ref="G16:K16"/>
    <mergeCell ref="A19:E19"/>
    <mergeCell ref="G25:K25"/>
    <mergeCell ref="M14:Q14"/>
    <mergeCell ref="A28:Q28"/>
    <mergeCell ref="M19:Q19"/>
    <mergeCell ref="A9:E9"/>
    <mergeCell ref="G9:K9"/>
    <mergeCell ref="M18:P18"/>
  </mergeCells>
  <conditionalFormatting sqref="E8">
    <cfRule type="expression" priority="1" dxfId="0" stopIfTrue="0">
      <formula>ISNUMBER(SEARCH("紅",E8))</formula>
    </cfRule>
    <cfRule type="expression" priority="2" dxfId="1" stopIfTrue="0">
      <formula>ISNUMBER(SEARCH("黃",E8))</formula>
    </cfRule>
    <cfRule type="expression" priority="3" dxfId="2" stopIfTrue="0">
      <formula>ISNUMBER(SEARCH("綠",E8))</formula>
    </cfRule>
  </conditionalFormatting>
  <conditionalFormatting sqref="A9">
    <cfRule type="expression" priority="4" dxfId="0" stopIfTrue="0">
      <formula>ISNUMBER(SEARCH("紅",E8))</formula>
    </cfRule>
    <cfRule type="expression" priority="5" dxfId="1" stopIfTrue="0">
      <formula>ISNUMBER(SEARCH("黃",E8))</formula>
    </cfRule>
    <cfRule type="expression" priority="6" dxfId="2" stopIfTrue="0">
      <formula>ISNUMBER(SEARCH("綠",E8))</formula>
    </cfRule>
  </conditionalFormatting>
  <conditionalFormatting sqref="K8">
    <cfRule type="expression" priority="7" dxfId="0" stopIfTrue="0">
      <formula>ISNUMBER(SEARCH("紅",K8))</formula>
    </cfRule>
    <cfRule type="expression" priority="8" dxfId="1" stopIfTrue="0">
      <formula>ISNUMBER(SEARCH("黃",K8))</formula>
    </cfRule>
    <cfRule type="expression" priority="9" dxfId="2" stopIfTrue="0">
      <formula>ISNUMBER(SEARCH("綠",K8))</formula>
    </cfRule>
  </conditionalFormatting>
  <conditionalFormatting sqref="G9">
    <cfRule type="expression" priority="10" dxfId="0" stopIfTrue="0">
      <formula>ISNUMBER(SEARCH("紅",K8))</formula>
    </cfRule>
    <cfRule type="expression" priority="11" dxfId="1" stopIfTrue="0">
      <formula>ISNUMBER(SEARCH("黃",K8))</formula>
    </cfRule>
    <cfRule type="expression" priority="12" dxfId="2" stopIfTrue="0">
      <formula>ISNUMBER(SEARCH("綠",K8))</formula>
    </cfRule>
  </conditionalFormatting>
  <conditionalFormatting sqref="Q8">
    <cfRule type="expression" priority="13" dxfId="0" stopIfTrue="0">
      <formula>ISNUMBER(SEARCH("紅",Q8))</formula>
    </cfRule>
    <cfRule type="expression" priority="14" dxfId="1" stopIfTrue="0">
      <formula>ISNUMBER(SEARCH("黃",Q8))</formula>
    </cfRule>
    <cfRule type="expression" priority="15" dxfId="2" stopIfTrue="0">
      <formula>ISNUMBER(SEARCH("綠",Q8))</formula>
    </cfRule>
  </conditionalFormatting>
  <conditionalFormatting sqref="M9">
    <cfRule type="expression" priority="16" dxfId="0" stopIfTrue="0">
      <formula>ISNUMBER(SEARCH("紅",Q8))</formula>
    </cfRule>
    <cfRule type="expression" priority="17" dxfId="1" stopIfTrue="0">
      <formula>ISNUMBER(SEARCH("黃",Q8))</formula>
    </cfRule>
    <cfRule type="expression" priority="18" dxfId="2" stopIfTrue="0">
      <formula>ISNUMBER(SEARCH("綠",Q8))</formula>
    </cfRule>
  </conditionalFormatting>
  <conditionalFormatting sqref="E13">
    <cfRule type="expression" priority="19" dxfId="0" stopIfTrue="0">
      <formula>ISNUMBER(SEARCH("紅",E13))</formula>
    </cfRule>
    <cfRule type="expression" priority="20" dxfId="1" stopIfTrue="0">
      <formula>ISNUMBER(SEARCH("黃",E13))</formula>
    </cfRule>
    <cfRule type="expression" priority="21" dxfId="2" stopIfTrue="0">
      <formula>ISNUMBER(SEARCH("綠",E13))</formula>
    </cfRule>
  </conditionalFormatting>
  <conditionalFormatting sqref="A14">
    <cfRule type="expression" priority="22" dxfId="0" stopIfTrue="0">
      <formula>ISNUMBER(SEARCH("紅",E13))</formula>
    </cfRule>
    <cfRule type="expression" priority="23" dxfId="1" stopIfTrue="0">
      <formula>ISNUMBER(SEARCH("黃",E13))</formula>
    </cfRule>
    <cfRule type="expression" priority="24" dxfId="2" stopIfTrue="0">
      <formula>ISNUMBER(SEARCH("綠",E13))</formula>
    </cfRule>
  </conditionalFormatting>
  <conditionalFormatting sqref="K13">
    <cfRule type="expression" priority="25" dxfId="0" stopIfTrue="0">
      <formula>ISNUMBER(SEARCH("紅",K13))</formula>
    </cfRule>
    <cfRule type="expression" priority="26" dxfId="1" stopIfTrue="0">
      <formula>ISNUMBER(SEARCH("黃",K13))</formula>
    </cfRule>
    <cfRule type="expression" priority="27" dxfId="2" stopIfTrue="0">
      <formula>ISNUMBER(SEARCH("綠",K13))</formula>
    </cfRule>
  </conditionalFormatting>
  <conditionalFormatting sqref="G14">
    <cfRule type="expression" priority="28" dxfId="0" stopIfTrue="0">
      <formula>ISNUMBER(SEARCH("紅",K13))</formula>
    </cfRule>
    <cfRule type="expression" priority="29" dxfId="1" stopIfTrue="0">
      <formula>ISNUMBER(SEARCH("黃",K13))</formula>
    </cfRule>
    <cfRule type="expression" priority="30" dxfId="2" stopIfTrue="0">
      <formula>ISNUMBER(SEARCH("綠",K13))</formula>
    </cfRule>
  </conditionalFormatting>
  <conditionalFormatting sqref="Q13">
    <cfRule type="expression" priority="31" dxfId="0" stopIfTrue="0">
      <formula>ISNUMBER(SEARCH("紅",Q13))</formula>
    </cfRule>
    <cfRule type="expression" priority="32" dxfId="1" stopIfTrue="0">
      <formula>ISNUMBER(SEARCH("黃",Q13))</formula>
    </cfRule>
    <cfRule type="expression" priority="33" dxfId="2" stopIfTrue="0">
      <formula>ISNUMBER(SEARCH("綠",Q13))</formula>
    </cfRule>
  </conditionalFormatting>
  <conditionalFormatting sqref="M14">
    <cfRule type="expression" priority="34" dxfId="0" stopIfTrue="0">
      <formula>ISNUMBER(SEARCH("紅",Q13))</formula>
    </cfRule>
    <cfRule type="expression" priority="35" dxfId="1" stopIfTrue="0">
      <formula>ISNUMBER(SEARCH("黃",Q13))</formula>
    </cfRule>
    <cfRule type="expression" priority="36" dxfId="2" stopIfTrue="0">
      <formula>ISNUMBER(SEARCH("綠",Q13))</formula>
    </cfRule>
  </conditionalFormatting>
  <conditionalFormatting sqref="E18">
    <cfRule type="expression" priority="37" dxfId="0" stopIfTrue="0">
      <formula>ISNUMBER(SEARCH("紅",E18))</formula>
    </cfRule>
    <cfRule type="expression" priority="38" dxfId="1" stopIfTrue="0">
      <formula>ISNUMBER(SEARCH("黃",E18))</formula>
    </cfRule>
    <cfRule type="expression" priority="39" dxfId="2" stopIfTrue="0">
      <formula>ISNUMBER(SEARCH("綠",E18))</formula>
    </cfRule>
  </conditionalFormatting>
  <conditionalFormatting sqref="A19">
    <cfRule type="expression" priority="40" dxfId="0" stopIfTrue="0">
      <formula>ISNUMBER(SEARCH("紅",E18))</formula>
    </cfRule>
    <cfRule type="expression" priority="41" dxfId="1" stopIfTrue="0">
      <formula>ISNUMBER(SEARCH("黃",E18))</formula>
    </cfRule>
    <cfRule type="expression" priority="42" dxfId="2" stopIfTrue="0">
      <formula>ISNUMBER(SEARCH("綠",E18))</formula>
    </cfRule>
  </conditionalFormatting>
  <conditionalFormatting sqref="K18">
    <cfRule type="expression" priority="43" dxfId="0" stopIfTrue="0">
      <formula>ISNUMBER(SEARCH("紅",K18))</formula>
    </cfRule>
    <cfRule type="expression" priority="44" dxfId="1" stopIfTrue="0">
      <formula>ISNUMBER(SEARCH("黃",K18))</formula>
    </cfRule>
    <cfRule type="expression" priority="45" dxfId="2" stopIfTrue="0">
      <formula>ISNUMBER(SEARCH("綠",K18))</formula>
    </cfRule>
  </conditionalFormatting>
  <conditionalFormatting sqref="G19">
    <cfRule type="expression" priority="46" dxfId="0" stopIfTrue="0">
      <formula>ISNUMBER(SEARCH("紅",K18))</formula>
    </cfRule>
    <cfRule type="expression" priority="47" dxfId="1" stopIfTrue="0">
      <formula>ISNUMBER(SEARCH("黃",K18))</formula>
    </cfRule>
    <cfRule type="expression" priority="48" dxfId="2" stopIfTrue="0">
      <formula>ISNUMBER(SEARCH("綠",K18))</formula>
    </cfRule>
  </conditionalFormatting>
  <conditionalFormatting sqref="Q18">
    <cfRule type="expression" priority="49" dxfId="0" stopIfTrue="0">
      <formula>ISNUMBER(SEARCH("紅",Q18))</formula>
    </cfRule>
    <cfRule type="expression" priority="50" dxfId="1" stopIfTrue="0">
      <formula>ISNUMBER(SEARCH("黃",Q18))</formula>
    </cfRule>
    <cfRule type="expression" priority="51" dxfId="2" stopIfTrue="0">
      <formula>ISNUMBER(SEARCH("綠",Q18))</formula>
    </cfRule>
  </conditionalFormatting>
  <conditionalFormatting sqref="M19">
    <cfRule type="expression" priority="52" dxfId="0" stopIfTrue="0">
      <formula>ISNUMBER(SEARCH("紅",Q18))</formula>
    </cfRule>
    <cfRule type="expression" priority="53" dxfId="1" stopIfTrue="0">
      <formula>ISNUMBER(SEARCH("黃",Q18))</formula>
    </cfRule>
    <cfRule type="expression" priority="54" dxfId="2" stopIfTrue="0">
      <formula>ISNUMBER(SEARCH("綠",Q18))</formula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管制總覽!T50:AE50</xm:f>
              <xm:sqref>A11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管制總覽!T51:AE51</xm:f>
              <xm:sqref>G11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管制總覽!T52:AE52</xm:f>
              <xm:sqref>M11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F4E79"/>
          <x14:colorNegative rgb="FFB91C1C"/>
          <x14:colorAxis rgb="FF000000"/>
          <x14:colorMarkers rgb="FF1F4E79"/>
          <x14:colorFirst rgb="FF15803D"/>
          <x14:colorLast rgb="FFB91C1C"/>
          <x14:colorHigh rgb="FF15803D"/>
          <x14:colorLow rgb="FFB91C1C"/>
          <x14:sparklines>
            <x14:sparkline>
              <xm:f>管制總覽!T53:AE53</xm:f>
              <xm:sqref>A16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B91C1C"/>
          <x14:colorNegative rgb="FFB91C1C"/>
          <x14:colorAxis rgb="FF000000"/>
          <x14:colorMarkers rgb="FFB91C1C"/>
          <x14:colorFirst rgb="FF15803D"/>
          <x14:colorLast rgb="FFB91C1C"/>
          <x14:colorHigh rgb="FF15803D"/>
          <x14:colorLow rgb="FFB91C1C"/>
          <x14:sparklines>
            <x14:sparkline>
              <xm:f>管制總覽!T54:AE54</xm:f>
              <xm:sqref>G16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B91C1C"/>
          <x14:colorNegative rgb="FFB91C1C"/>
          <x14:colorAxis rgb="FF000000"/>
          <x14:colorMarkers rgb="FFB91C1C"/>
          <x14:colorFirst rgb="FF15803D"/>
          <x14:colorLast rgb="FFB91C1C"/>
          <x14:colorHigh rgb="FF15803D"/>
          <x14:colorLow rgb="FFB91C1C"/>
          <x14:sparklines>
            <x14:sparkline>
              <xm:f>管制總覽!T55:AE55</xm:f>
              <xm:sqref>M16</xm:sqref>
            </x14:sparkline>
          </x14:sparklines>
        </x14:sparklineGroup>
        <x14:sparklineGroup type="line" displayEmptyCellsAs="zero" lineWeight="1.25" displayXAxis="0" markers="0" high="1" low="1" first="0" last="0" negative="0">
          <x14:colorSeries rgb="FF15803D"/>
          <x14:colorNegative rgb="FFB91C1C"/>
          <x14:colorAxis rgb="FF000000"/>
          <x14:colorMarkers rgb="FF15803D"/>
          <x14:colorFirst rgb="FF15803D"/>
          <x14:colorLast rgb="FFB91C1C"/>
          <x14:colorHigh rgb="FF15803D"/>
          <x14:colorLow rgb="FFB91C1C"/>
          <x14:sparklines>
            <x14:sparkline>
              <xm:f>管制總覽!T56:AE56</xm:f>
              <xm:sqref>A21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01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56" customHeight="1">
      <c r="A1" s="116" t="inlineStr">
        <is>
          <t xml:space="preserve">   ⚖  全般刑案管制情形分析</t>
        </is>
      </c>
      <c r="B1" s="6" t="n"/>
      <c r="C1" s="6" t="n"/>
      <c r="D1" s="6" t="n"/>
      <c r="E1" s="6" t="n"/>
      <c r="F1" s="6" t="n"/>
      <c r="G1" s="6" t="n"/>
      <c r="H1" s="6" t="n"/>
    </row>
    <row r="2" ht="26" customHeight="1">
      <c r="A2" s="89">
        <f>派出所英文&amp;" · "&amp;警察局名稱&amp;" · "&amp;分局名稱&amp;" · "&amp;派出所名稱&amp;"  ｜  REPORT DATE: "&amp;TEXT(今日,"yyyy/mm/dd")</f>
        <v/>
      </c>
    </row>
    <row r="3" ht="26" customHeight="1">
      <c r="A3" s="128">
        <f>"統計區間：中華民國 "&amp;(YEAR(今日)-1911)&amp;" 年 01/01 ~ "&amp;TEXT(今日,"mm/dd")&amp;"   ｜  同期對照：中華民國 "&amp;(YEAR(今日)-1912)&amp;" 年同期間"</f>
        <v/>
      </c>
      <c r="B3" s="34" t="n"/>
      <c r="C3" s="34" t="n"/>
      <c r="D3" s="34" t="n"/>
      <c r="E3" s="34" t="n"/>
      <c r="F3" s="34" t="n"/>
      <c r="G3" s="34" t="n"/>
      <c r="H3" s="34" t="n"/>
    </row>
    <row r="4" ht="10" customHeight="1"/>
    <row r="5" ht="34" customHeight="1">
      <c r="A5" s="39" t="inlineStr">
        <is>
          <t xml:space="preserve">   壹  全般刑案總覽</t>
        </is>
      </c>
    </row>
    <row r="6" ht="36" customHeight="1">
      <c r="A6" s="129" t="inlineStr">
        <is>
          <t xml:space="preserve">  🎯 本所統計·破獲率
  查獲管轄=本轄 ÷ 發生管轄=本轄</t>
        </is>
      </c>
      <c r="B6" s="7" t="n"/>
      <c r="C6" s="7" t="n"/>
      <c r="D6" s="111" t="inlineStr">
        <is>
          <t xml:space="preserve">  📊 發生件數
  發生管轄=本轄</t>
        </is>
      </c>
      <c r="E6" s="7" t="n"/>
      <c r="F6" s="112" t="inlineStr">
        <is>
          <t xml:space="preserve">  ✓ 破獲件數（本所）
  查獲管轄=本轄</t>
        </is>
      </c>
      <c r="G6" s="7" t="n"/>
      <c r="H6" s="7" t="n"/>
    </row>
    <row r="7" ht="56" customHeight="1">
      <c r="A7" s="130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B7" s="6" t="n"/>
      <c r="C7" s="6" t="n"/>
      <c r="D7" s="131">
        <f>IFERROR(COUNTIFS(Tbl案件[發生管轄],"本轄",Tbl案件[歸屬年度],(YEAR(今日)-1911),Tbl案件[計入發生數],"是"),0)</f>
        <v/>
      </c>
      <c r="E7" s="6" t="n"/>
      <c r="F7" s="132">
        <f>IFERROR(COUNTIFS(Tbl案件[查獲管轄],"本轄",Tbl案件[是否破獲],"是",Tbl案件[歸屬年度],(YEAR(今日)-1911)),0)</f>
        <v/>
      </c>
      <c r="G7" s="6" t="n"/>
      <c r="H7" s="6" t="n"/>
    </row>
    <row r="8" ht="26" customHeight="1">
      <c r="A8" s="95" t="inlineStr">
        <is>
          <t xml:space="preserve">  本所破獲率：</t>
        </is>
      </c>
      <c r="B8" s="8" t="n"/>
      <c r="C8" s="96">
        <f>REPT("█",MIN(20,ROUND(IFERROR(COUNTIFS(Tbl案件[查獲管轄],"本轄",Tbl案件[是否破獲],"是",Tbl案件[歸屬年度],(YEAR(今日)-1911))/COUNTIFS(Tbl案件[發生管轄],"本轄",Tbl案件[歸屬年度],(YEAR(今日)-1911),Tbl案件[計入發生數],"是"),0)*20,0)))&amp;" "&amp;TEXT(IFERROR(COUNTIFS(Tbl案件[查獲管轄],"本轄",Tbl案件[是否破獲],"是",Tbl案件[歸屬年度],(YEAR(今日)-1911))/COUNTIFS(Tbl案件[發生管轄],"本轄",Tbl案件[歸屬年度],(YEAR(今日)-1911),Tbl案件[計入發生數],"是"),0),"0.0%")</f>
        <v/>
      </c>
      <c r="D8" s="7" t="n"/>
      <c r="E8" s="7" t="n"/>
      <c r="F8" s="8" t="n"/>
      <c r="G8" s="97">
        <f>IF(IFERROR(COUNTIFS(Tbl案件[查獲管轄],"本轄",Tbl案件[是否破獲],"是",Tbl案件[歸屬年度],(YEAR(今日)-1911))/COUNTIFS(Tbl案件[發生管轄],"本轄",Tbl案件[歸屬年度],(YEAR(今日)-1911),Tbl案件[計入發生數],"是"),0)&gt;=1,"✓ 達標","● 待達標")</f>
        <v/>
      </c>
      <c r="H8" s="8" t="n"/>
    </row>
    <row r="9" ht="26" customHeight="1">
      <c r="A9" s="95" t="inlineStr">
        <is>
          <t xml:space="preserve">  分局破獲率：</t>
        </is>
      </c>
      <c r="B9" s="8" t="n"/>
      <c r="C9" s="98">
        <f>REPT("█",MIN(20,ROUND(IFERROR(COUNTIFS(Tbl案件[發生管轄],"本轄",Tbl案件[是否破獲],"是",Tbl案件[歸屬年度],(YEAR(今日)-1911))/COUNTIFS(Tbl案件[發生管轄],"本轄",Tbl案件[歸屬年度],(YEAR(今日)-1911),Tbl案件[計入發生數],"是"),0)*20,0)))&amp;" "&amp;TEXT(IFERROR(COUNTIFS(Tbl案件[發生管轄],"本轄",Tbl案件[是否破獲],"是",Tbl案件[歸屬年度],(YEAR(今日)-1911))/COUNTIFS(Tbl案件[發生管轄],"本轄",Tbl案件[歸屬年度],(YEAR(今日)-1911),Tbl案件[計入發生數],"是"),0),"0.0%")</f>
        <v/>
      </c>
      <c r="D9" s="7" t="n"/>
      <c r="E9" s="7" t="n"/>
      <c r="F9" s="8" t="n"/>
      <c r="G9" s="99" t="inlineStr">
        <is>
          <t xml:space="preserve">  100% 基準</t>
        </is>
      </c>
      <c r="H9" s="8" t="n"/>
    </row>
    <row r="10" ht="28" customHeight="1">
      <c r="A10" s="100">
        <f>"差異分析：本所 vs 分局 差 "&amp;IFERROR(COUNTIFS(Tbl案件[查獲管轄],"本轄",Tbl案件[是否破獲],"是",Tbl案件[歸屬年度],(YEAR(今日)-1911))-COUNTIFS(Tbl案件[發生管轄],"本轄",Tbl案件[是否破獲],"是",Tbl案件[歸屬年度],(YEAR(今日)-1911)),0)&amp;" 件 = 拘提掃碼車手破他轄 "&amp;IFERROR(COUNTIFS(Tbl案件[發生管轄],"他轄",Tbl案件[查獲管轄],"本轄",Tbl案件[歸屬年度],(YEAR(今日)-1911)),0)&amp;" 件 + 本轄已破未移送 "&amp;IFERROR(COUNTIFS(Tbl案件[發生管轄],"本轄",Tbl案件[案件狀況],"已破獲未移送",Tbl案件[歸屬年度],(YEAR(今日)-1911)),0)&amp;" 件"</f>
        <v/>
      </c>
      <c r="B10" s="7" t="n"/>
      <c r="C10" s="7" t="n"/>
      <c r="D10" s="7" t="n"/>
      <c r="E10" s="7" t="n"/>
      <c r="F10" s="7" t="n"/>
      <c r="G10" s="7" t="n"/>
      <c r="H10" s="8" t="n"/>
    </row>
    <row r="11" ht="10" customHeight="1"/>
    <row r="12" ht="34" customHeight="1">
      <c r="A12" s="39" t="inlineStr">
        <is>
          <t xml:space="preserve">   貳  重點案類（竊盜 / 詐欺）</t>
        </is>
      </c>
    </row>
    <row r="13" ht="28" customHeight="1">
      <c r="A13" s="12">
        <f>"🔵 竊盜：發生 "&amp;IFERROR(COUNTIFS(Tbl案件[案類分類],"竊盜",Tbl案件[發生管轄],"本轄",Tbl案件[歸屬年度],(YEAR(今日)-1911),Tbl案件[計入發生數],"是"),0)&amp;" / 破獲 "&amp;IFERROR(COUNTIFS(Tbl案件[案類分類],"竊盜",Tbl案件[查獲管轄],"本轄",Tbl案件[是否破獲],"是",Tbl案件[歸屬年度],(YEAR(今日)-1911)),0)&amp;" / 破獲率 "&amp;TEXT(IFERROR(COUNTIFS(Tbl案件[案類分類],"竊盜",Tbl案件[查獲管轄],"本轄",Tbl案件[是否破獲],"是",Tbl案件[歸屬年度],(YEAR(今日)-1911))/COUNTIFS(Tbl案件[案類分類],"竊盜",Tbl案件[發生管轄],"本轄",Tbl案件[歸屬年度],(YEAR(今日)-1911),Tbl案件[計入發生數],"是"),0),"0.0%")</f>
        <v/>
      </c>
      <c r="B13" s="7" t="n"/>
      <c r="C13" s="7" t="n"/>
      <c r="D13" s="8" t="n"/>
      <c r="E13" s="101">
        <f>"🟢 詐欺：發生 "&amp;IFERROR(COUNTIFS(Tbl案件[案類分類],"詐欺",Tbl案件[發生管轄],"本轄",Tbl案件[歸屬年度],(YEAR(今日)-1911),Tbl案件[計入發生數],"是"),0)&amp;" / 破獲 "&amp;IFERROR(COUNTIFS(Tbl案件[案類分類],"詐欺",Tbl案件[查獲管轄],"本轄",Tbl案件[是否破獲],"是",Tbl案件[歸屬年度],(YEAR(今日)-1911)),0)&amp;" / 破獲率 "&amp;TEXT(IFERROR(COUNTIFS(Tbl案件[案類分類],"詐欺",Tbl案件[查獲管轄],"本轄",Tbl案件[是否破獲],"是",Tbl案件[歸屬年度],(YEAR(今日)-1911))/COUNTIFS(Tbl案件[案類分類],"詐欺",Tbl案件[發生管轄],"本轄",Tbl案件[歸屬年度],(YEAR(今日)-1911),Tbl案件[計入發生數],"是"),0),"0.0%")</f>
        <v/>
      </c>
      <c r="F13" s="7" t="n"/>
      <c r="G13" s="7" t="n"/>
      <c r="H13" s="8" t="n"/>
    </row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10" customHeight="1"/>
    <row r="24" ht="34" customHeight="1">
      <c r="A24" s="39" t="inlineStr">
        <is>
          <t xml:space="preserve">   參  未破案件與其他管制</t>
        </is>
      </c>
    </row>
    <row r="25" ht="34" customHeight="1">
      <c r="A25" s="102" t="inlineStr">
        <is>
          <t xml:space="preserve">  分類原因（手動填）</t>
        </is>
      </c>
      <c r="B25" s="7" t="n"/>
      <c r="C25" s="8" t="n"/>
      <c r="D25" s="10" t="inlineStr">
        <is>
          <t>件數（手動）</t>
        </is>
      </c>
      <c r="E25" s="102" t="inlineStr">
        <is>
          <t xml:space="preserve">  補充說明（手動填）</t>
        </is>
      </c>
      <c r="F25" s="7" t="n"/>
      <c r="G25" s="7" t="n"/>
      <c r="H25" s="8" t="n"/>
    </row>
    <row r="26" ht="30" customHeight="1">
      <c r="A26" s="14" t="inlineStr">
        <is>
          <t>他轄發生暫掛</t>
        </is>
      </c>
      <c r="B26" s="7" t="n"/>
      <c r="C26" s="8" t="n"/>
      <c r="D26" s="23" t="n">
        <v>0</v>
      </c>
      <c r="E26" s="14" t="inlineStr"/>
      <c r="F26" s="7" t="n"/>
      <c r="G26" s="7" t="n"/>
      <c r="H26" s="8" t="n"/>
    </row>
    <row r="27" ht="30" customHeight="1">
      <c r="A27" s="14" t="inlineStr">
        <is>
          <t>網路詐欺跨境</t>
        </is>
      </c>
      <c r="B27" s="7" t="n"/>
      <c r="C27" s="8" t="n"/>
      <c r="D27" s="23" t="n">
        <v>0</v>
      </c>
      <c r="E27" s="14" t="inlineStr"/>
      <c r="F27" s="7" t="n"/>
      <c r="G27" s="7" t="n"/>
      <c r="H27" s="8" t="n"/>
    </row>
    <row r="28" ht="30" customHeight="1">
      <c r="A28" s="14" t="inlineStr">
        <is>
          <t>無監視器卷宗</t>
        </is>
      </c>
      <c r="B28" s="7" t="n"/>
      <c r="C28" s="8" t="n"/>
      <c r="D28" s="23" t="n">
        <v>0</v>
      </c>
      <c r="E28" s="14" t="inlineStr"/>
      <c r="F28" s="7" t="n"/>
      <c r="G28" s="7" t="n"/>
      <c r="H28" s="8" t="n"/>
    </row>
    <row r="29" ht="26" customHeight="1">
      <c r="A29" s="103" t="inlineStr">
        <is>
          <t xml:space="preserve">  ─ 總計（手動 vs 自動）─</t>
        </is>
      </c>
      <c r="B29" s="7" t="n"/>
      <c r="C29" s="8" t="n"/>
      <c r="D29" s="104">
        <f>SUM(D26:D28)</f>
        <v/>
      </c>
      <c r="E29" s="105">
        <f>"  自動算未破："&amp;IFERROR(COUNTIFS(Tbl案件[發生管轄],"本轄",Tbl案件[案件狀況],"尚未偵破",Tbl案件[歸屬年度],(YEAR(今日)-1911),Tbl案件[計入發生數],"是"),0)&amp;" 件  ｜  若不一致請補分類"</f>
        <v/>
      </c>
      <c r="F29" s="7" t="n"/>
      <c r="G29" s="7" t="n"/>
      <c r="H29" s="8" t="n"/>
    </row>
    <row r="30" ht="28" customHeight="1">
      <c r="A30" s="106">
        <f>"🛡 婦幼案件："&amp;IF(婦幼件數=0,"目前尚無管制案件",婦幼件數&amp;" 件 列管中")</f>
        <v/>
      </c>
      <c r="B30" s="7" t="n"/>
      <c r="C30" s="7" t="n"/>
      <c r="D30" s="8" t="n"/>
      <c r="E30" s="106">
        <f>"🔍 協尋人口："&amp;IF(協尋件數=0,"目前尚無管制案件",協尋件數&amp;" 件 列管中")</f>
        <v/>
      </c>
      <c r="F30" s="7" t="n"/>
      <c r="G30" s="7" t="n"/>
      <c r="H30" s="8" t="n"/>
    </row>
    <row r="31" ht="10" customHeight="1"/>
    <row r="32" ht="28" customHeight="1">
      <c r="A32" s="133">
        <f>"報告人："&amp;派出所名稱&amp;"所長  ｜  破獲率基準：100%  ｜  本所統計：查獲管轄=本轄；分局統計：發生管轄=本轄  ｜  製表："&amp;TEXT(今日,"e/mm/dd")</f>
        <v/>
      </c>
      <c r="B32" s="7" t="n"/>
      <c r="C32" s="7" t="n"/>
      <c r="D32" s="7" t="n"/>
      <c r="E32" s="7" t="n"/>
      <c r="F32" s="7" t="n"/>
      <c r="G32" s="7" t="n"/>
      <c r="H32" s="7" t="n"/>
    </row>
    <row r="99" hidden="1">
      <c r="Q99" s="83" t="inlineStr">
        <is>
          <t>[helper] 竊盜環形圖</t>
        </is>
      </c>
      <c r="S99" s="83" t="inlineStr">
        <is>
          <t>[helper] 詐欺環形圖</t>
        </is>
      </c>
    </row>
    <row r="100" hidden="1">
      <c r="Q100" s="83" t="inlineStr">
        <is>
          <t>已破</t>
        </is>
      </c>
      <c r="R100" s="83">
        <f>IFERROR(COUNTIFS(Tbl案件[案類分類],"竊盜",Tbl案件[查獲管轄],"本轄",Tbl案件[是否破獲],"是",Tbl案件[歸屬年度],(YEAR(今日)-1911)),0)</f>
        <v/>
      </c>
      <c r="S100" s="83" t="inlineStr">
        <is>
          <t>已破</t>
        </is>
      </c>
      <c r="T100" s="83">
        <f>IFERROR(COUNTIFS(Tbl案件[案類分類],"詐欺",Tbl案件[查獲管轄],"本轄",Tbl案件[是否破獲],"是",Tbl案件[歸屬年度],(YEAR(今日)-1911)),0)</f>
        <v/>
      </c>
    </row>
    <row r="101" hidden="1">
      <c r="Q101" s="83" t="inlineStr">
        <is>
          <t>尚未偵破</t>
        </is>
      </c>
      <c r="R101" s="83">
        <f>MAX(0,IFERROR(COUNTIFS(Tbl案件[案類分類],"竊盜",Tbl案件[發生管轄],"本轄",Tbl案件[歸屬年度],(YEAR(今日)-1911),Tbl案件[計入發生數],"是")-COUNTIFS(Tbl案件[案類分類],"竊盜",Tbl案件[查獲管轄],"本轄",Tbl案件[是否破獲],"是",Tbl案件[歸屬年度],(YEAR(今日)-1911)),0))</f>
        <v/>
      </c>
      <c r="S101" s="83" t="inlineStr">
        <is>
          <t>尚未偵破</t>
        </is>
      </c>
      <c r="T101" s="83">
        <f>MAX(0,IFERROR(COUNTIFS(Tbl案件[案類分類],"詐欺",Tbl案件[發生管轄],"本轄",Tbl案件[歸屬年度],(YEAR(今日)-1911),Tbl案件[計入發生數],"是")-COUNTIFS(Tbl案件[案類分類],"詐欺",Tbl案件[查獲管轄],"本轄",Tbl案件[是否破獲],"是",Tbl案件[歸屬年度],(YEAR(今日)-1911)),0))</f>
        <v/>
      </c>
    </row>
    <row r="102" hidden="1"/>
    <row r="103" hidden="1"/>
    <row r="104" hidden="1"/>
    <row r="105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35">
    <mergeCell ref="A25:C25"/>
    <mergeCell ref="E26:H26"/>
    <mergeCell ref="C8:F8"/>
    <mergeCell ref="A24:H24"/>
    <mergeCell ref="D25"/>
    <mergeCell ref="A27:C27"/>
    <mergeCell ref="E25:H25"/>
    <mergeCell ref="A1:H1"/>
    <mergeCell ref="G8:H8"/>
    <mergeCell ref="A26:C26"/>
    <mergeCell ref="A13:D13"/>
    <mergeCell ref="D6:E6"/>
    <mergeCell ref="A30:D30"/>
    <mergeCell ref="A29:C29"/>
    <mergeCell ref="A12:H12"/>
    <mergeCell ref="A28:C28"/>
    <mergeCell ref="A3:H3"/>
    <mergeCell ref="D7:E7"/>
    <mergeCell ref="A2:H2"/>
    <mergeCell ref="E29:H29"/>
    <mergeCell ref="A7:C7"/>
    <mergeCell ref="A5:H5"/>
    <mergeCell ref="A32:H32"/>
    <mergeCell ref="A8:B8"/>
    <mergeCell ref="E28:H28"/>
    <mergeCell ref="E13:H13"/>
    <mergeCell ref="C9:F9"/>
    <mergeCell ref="F6:H6"/>
    <mergeCell ref="A6:C6"/>
    <mergeCell ref="A10:H10"/>
    <mergeCell ref="E30:H30"/>
    <mergeCell ref="F7:H7"/>
    <mergeCell ref="A9:B9"/>
    <mergeCell ref="G9:H9"/>
    <mergeCell ref="E27:H27"/>
  </mergeCells>
  <printOptions horizontalCentered="1"/>
  <pageMargins left="0.4" right="0.4" top="0.5" bottom="0.5" header="0.3" footer="0.3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tabSelected="0" topLeftCell="A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52" customHeight="1">
      <c r="A1" s="27">
        <f>"   📜  " &amp; 派出所名稱 &amp; "  ｜  中華民國 " &amp; (YEAR(今日)-1911) &amp; " 年 " &amp; TEXT(MONTH(今日),"00") &amp; " 月勤務狀況報告"</f>
        <v/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 &amp; 警察局名稱 &amp; " · " &amp; 分局名稱 &amp; " · " &amp; 派出所名稱 &amp; "  ｜  製表 " &amp; TEXT(今日,"e/mm/dd") &amp; "  ｜  Pyramid Principle 5 分鐘簡報"</f>
        <v/>
      </c>
    </row>
    <row r="3" ht="30" customHeight="1">
      <c r="A3" s="165">
        <f>"   📌  報告人：" &amp; 派出所名稱 &amp; "所長  ｜  呈：分局督導官  ｜  本報告由系統自動聚合 + 所長行動方案"</f>
        <v/>
      </c>
      <c r="B3" s="7" t="n"/>
      <c r="C3" s="7" t="n"/>
      <c r="D3" s="7" t="n"/>
      <c r="E3" s="7" t="n"/>
      <c r="F3" s="7" t="n"/>
      <c r="G3" s="7" t="n"/>
      <c r="H3" s="8" t="n"/>
    </row>
    <row r="4" ht="8" customHeight="1"/>
    <row r="5" ht="34" customHeight="1">
      <c r="A5" s="39" t="inlineStr">
        <is>
          <t xml:space="preserve">   ★  結論（一句話總結，公式自動）</t>
        </is>
      </c>
    </row>
    <row r="6" ht="32" customHeight="1">
      <c r="A6" s="189">
        <f>IF(管制總覽!A25&gt;0,"🚨 本月狀態嚴峻：9 大 KPI 有 " &amp; 管制總覽!A25 &amp; " 項紅燈，需立即處置（建議優先處理未破刑案與毒調候選）",IF(管制總覽!G25&gt;0,"⚠ 本月狀態尚可：" &amp; 管制總覽!G25 &amp; " 項黃燈需關注，建議排入週會檢討；其餘 KPI 達標","✓ 本月狀態良好：9 大 KPI 全綠燈通過，建議持續維持"))</f>
        <v/>
      </c>
      <c r="B6" s="194" t="n"/>
      <c r="C6" s="194" t="n"/>
      <c r="D6" s="194" t="n"/>
      <c r="E6" s="194" t="n"/>
      <c r="F6" s="194" t="n"/>
      <c r="G6" s="194" t="n"/>
      <c r="H6" s="195" t="n"/>
    </row>
    <row r="7" ht="32" customHeight="1">
      <c r="A7" s="196" t="n"/>
      <c r="B7" s="197" t="n"/>
      <c r="C7" s="197" t="n"/>
      <c r="D7" s="197" t="n"/>
      <c r="E7" s="197" t="n"/>
      <c r="F7" s="197" t="n"/>
      <c r="G7" s="197" t="n"/>
      <c r="H7" s="198" t="n"/>
    </row>
    <row r="8" ht="10" customHeight="1"/>
    <row r="9" ht="34" customHeight="1">
      <c r="A9" s="39" t="inlineStr">
        <is>
          <t xml:space="preserve">   ★  三大重點（按優先順序：刑案 → 毒調 → 交通）</t>
        </is>
      </c>
    </row>
    <row r="10" ht="28" customHeight="1">
      <c r="A10" s="186" t="inlineStr">
        <is>
          <t xml:space="preserve">   🔍  刑案績效</t>
        </is>
      </c>
      <c r="B10" s="7" t="n"/>
      <c r="C10" s="7" t="n"/>
      <c r="D10" s="7" t="n"/>
      <c r="E10" s="7" t="n"/>
      <c r="F10" s="7" t="n"/>
      <c r="G10" s="7" t="n"/>
      <c r="H10" s="8" t="n"/>
    </row>
    <row r="11" ht="24" customHeight="1">
      <c r="A11" s="16">
        <f>"    ① 本所統計破獲率：" &amp; TEXT(IFERROR(COUNTIFS(Tbl案件[查獲管轄],"本轄",Tbl案件[是否破獲],"是",Tbl案件[歸屬年度],(YEAR(今日)-1911))/COUNTIFS(Tbl案件[發生管轄],"本轄",Tbl案件[歸屬年度],(YEAR(今日)-1911),Tbl案件[計入發生數],"是"),0),"0.0%") &amp; "（年度累計）"</f>
        <v/>
      </c>
      <c r="B11" s="7" t="n"/>
      <c r="C11" s="7" t="n"/>
      <c r="D11" s="7" t="n"/>
      <c r="E11" s="7" t="n"/>
      <c r="F11" s="7" t="n"/>
      <c r="G11" s="7" t="n"/>
      <c r="H11" s="8" t="n"/>
    </row>
    <row r="12" ht="24" customHeight="1">
      <c r="A12" s="16">
        <f>"    ② 案件狀況分布：尚未偵破 " &amp; IFERROR(COUNTIFS(Tbl案件[案件狀況],"尚未偵破",Tbl案件[發生管轄],"本轄",Tbl案件[歸屬年度],(YEAR(今日)-1911)),0) &amp; " 件　已破獲未移送 " &amp; IFERROR(COUNTIFS(Tbl案件[案件狀況],"已破獲未移送",Tbl案件[歸屬年度],(YEAR(今日)-1911)),0) &amp; " 件　已移送 " &amp; IFERROR(COUNTIFS(Tbl案件[案件狀況],"已移送",Tbl案件[歸屬年度],(YEAR(今日)-1911)),0) &amp; " 件"</f>
        <v/>
      </c>
      <c r="B12" s="7" t="n"/>
      <c r="C12" s="7" t="n"/>
      <c r="D12" s="7" t="n"/>
      <c r="E12" s="7" t="n"/>
      <c r="F12" s="7" t="n"/>
      <c r="G12" s="7" t="n"/>
      <c r="H12" s="8" t="n"/>
    </row>
    <row r="13" ht="24" customHeight="1">
      <c r="A13" s="16">
        <f>"    ③ 重點案類：竊盜破獲率 " &amp; TEXT(管制總覽!G9,"0.0%") &amp; "　詐欺破獲率 " &amp; TEXT(管制總覽!M9,"0.0%")</f>
        <v/>
      </c>
      <c r="B13" s="7" t="n"/>
      <c r="C13" s="7" t="n"/>
      <c r="D13" s="7" t="n"/>
      <c r="E13" s="7" t="n"/>
      <c r="F13" s="7" t="n"/>
      <c r="G13" s="7" t="n"/>
      <c r="H13" s="8" t="n"/>
    </row>
    <row r="14" ht="28" customHeight="1">
      <c r="A14" s="183" t="inlineStr">
        <is>
          <t xml:space="preserve">   💊  毒品調驗</t>
        </is>
      </c>
      <c r="B14" s="7" t="n"/>
      <c r="C14" s="7" t="n"/>
      <c r="D14" s="7" t="n"/>
      <c r="E14" s="7" t="n"/>
      <c r="F14" s="7" t="n"/>
      <c r="G14" s="7" t="n"/>
      <c r="H14" s="8" t="n"/>
    </row>
    <row r="15" ht="24" customHeight="1">
      <c r="A15" s="16">
        <f>"    ① 毒調率：" &amp; TEXT(IFERROR(SUM(Tbl毒調[是否到驗])/COUNTA(Tbl毒調[姓名]),0),"0.0%") &amp; "（目標 " &amp; TEXT(毒調率目標,"0%") &amp; "）"</f>
        <v/>
      </c>
      <c r="B15" s="7" t="n"/>
      <c r="C15" s="7" t="n"/>
      <c r="D15" s="7" t="n"/>
      <c r="E15" s="7" t="n"/>
      <c r="F15" s="7" t="n"/>
      <c r="G15" s="7" t="n"/>
      <c r="H15" s="8" t="n"/>
    </row>
    <row r="16" ht="24" customHeight="1">
      <c r="A16" s="16">
        <f>"    ② 列管 " &amp; COUNTA(Tbl毒調[姓名]) &amp; " 人　完成到驗（含通緝/強採/在監）" &amp; SUM(Tbl毒調[是否到驗]) &amp; " 人"</f>
        <v/>
      </c>
      <c r="B16" s="7" t="n"/>
      <c r="C16" s="7" t="n"/>
      <c r="D16" s="7" t="n"/>
      <c r="E16" s="7" t="n"/>
      <c r="F16" s="7" t="n"/>
      <c r="G16" s="7" t="n"/>
      <c r="H16" s="8" t="n"/>
    </row>
    <row r="17" ht="24" customHeight="1">
      <c r="A17" s="16">
        <f>"    ③ 應強採候選：" &amp; SUM(Tbl毒調[候選旗標]) &amp; " 人未到驗待處理"</f>
        <v/>
      </c>
      <c r="B17" s="7" t="n"/>
      <c r="C17" s="7" t="n"/>
      <c r="D17" s="7" t="n"/>
      <c r="E17" s="7" t="n"/>
      <c r="F17" s="7" t="n"/>
      <c r="G17" s="7" t="n"/>
      <c r="H17" s="8" t="n"/>
    </row>
    <row r="18" ht="28" customHeight="1">
      <c r="A18" s="180" t="inlineStr">
        <is>
          <t xml:space="preserve">   🚦  交通取締</t>
        </is>
      </c>
      <c r="B18" s="7" t="n"/>
      <c r="C18" s="7" t="n"/>
      <c r="D18" s="7" t="n"/>
      <c r="E18" s="7" t="n"/>
      <c r="F18" s="7" t="n"/>
      <c r="G18" s="7" t="n"/>
      <c r="H18" s="8" t="n"/>
    </row>
    <row r="19" ht="24" customHeight="1">
      <c r="A19" s="16">
        <f>"    ① 總達成率：" &amp; TEXT(IFERROR(交通績效管制!E8,0),"0.0%")</f>
        <v/>
      </c>
      <c r="B19" s="7" t="n"/>
      <c r="C19" s="7" t="n"/>
      <c r="D19" s="7" t="n"/>
      <c r="E19" s="7" t="n"/>
      <c r="F19" s="7" t="n"/>
      <c r="G19" s="7" t="n"/>
      <c r="H19" s="8" t="n"/>
    </row>
    <row r="20" ht="24" customHeight="1">
      <c r="A20" s="16">
        <f>"    ② 達標項數：" &amp; COUNTIF(交通績效管制!D14:D19,"&gt;="&amp;0.8) &amp; " ／ 6 項違規"</f>
        <v/>
      </c>
      <c r="B20" s="7" t="n"/>
      <c r="C20" s="7" t="n"/>
      <c r="D20" s="7" t="n"/>
      <c r="E20" s="7" t="n"/>
      <c r="F20" s="7" t="n"/>
      <c r="G20" s="7" t="n"/>
      <c r="H20" s="8" t="n"/>
    </row>
    <row r="21" ht="24" customHeight="1">
      <c r="A21" s="16">
        <f>"    ③ 主要違規：酒駕 " &amp; IFERROR(COUNTIF(Tbl交通[違規項目],"*酒駕*"),0) &amp; " 件　闖紅燈 " &amp; IFERROR(COUNTIF(Tbl交通[違規項目],"*闖紅燈*"),0) &amp; " 件"</f>
        <v/>
      </c>
      <c r="B21" s="7" t="n"/>
      <c r="C21" s="7" t="n"/>
      <c r="D21" s="7" t="n"/>
      <c r="E21" s="7" t="n"/>
      <c r="F21" s="7" t="n"/>
      <c r="G21" s="7" t="n"/>
      <c r="H21" s="8" t="n"/>
    </row>
    <row r="22" ht="10" customHeight="1"/>
    <row r="23" ht="34" customHeight="1">
      <c r="A23" s="125" t="inlineStr">
        <is>
          <t xml:space="preserve">   ★  下月行動方案（手動輸入區 — 所長判斷裁示，公式不代生）</t>
        </is>
      </c>
    </row>
    <row r="24" ht="28" customHeight="1">
      <c r="A24" s="219" t="inlineStr">
        <is>
          <t xml:space="preserve">  行動 1：（請所長手填，例：本月加強 XX 路段巡邏，目標降低詐欺 X 件）</t>
        </is>
      </c>
      <c r="B24" s="220" t="n"/>
      <c r="C24" s="220" t="n"/>
      <c r="D24" s="220" t="n"/>
      <c r="E24" s="220" t="n"/>
      <c r="F24" s="220" t="n"/>
      <c r="G24" s="220" t="n"/>
      <c r="H24" s="221" t="n"/>
    </row>
    <row r="25" ht="28" customHeight="1">
      <c r="A25" s="219" t="inlineStr">
        <is>
          <t xml:space="preserve">  行動 2：（請所長手填）</t>
        </is>
      </c>
      <c r="B25" s="220" t="n"/>
      <c r="C25" s="220" t="n"/>
      <c r="D25" s="220" t="n"/>
      <c r="E25" s="220" t="n"/>
      <c r="F25" s="220" t="n"/>
      <c r="G25" s="220" t="n"/>
      <c r="H25" s="221" t="n"/>
    </row>
    <row r="26" ht="28" customHeight="1">
      <c r="A26" s="219" t="inlineStr">
        <is>
          <t xml:space="preserve">  行動 3：（請所長手填）</t>
        </is>
      </c>
      <c r="B26" s="220" t="n"/>
      <c r="C26" s="220" t="n"/>
      <c r="D26" s="220" t="n"/>
      <c r="E26" s="220" t="n"/>
      <c r="F26" s="220" t="n"/>
      <c r="G26" s="220" t="n"/>
      <c r="H26" s="221" t="n"/>
    </row>
    <row r="27" ht="28" customHeight="1">
      <c r="A27" s="219" t="inlineStr">
        <is>
          <t xml:space="preserve">  備註：（必要時補充說明）</t>
        </is>
      </c>
      <c r="B27" s="220" t="n"/>
      <c r="C27" s="220" t="n"/>
      <c r="D27" s="220" t="n"/>
      <c r="E27" s="220" t="n"/>
      <c r="F27" s="220" t="n"/>
      <c r="G27" s="220" t="n"/>
      <c r="H27" s="221" t="n"/>
    </row>
    <row r="28" ht="10" customHeight="1"/>
    <row r="29" ht="34" customHeight="1">
      <c r="A29" s="39" t="inlineStr">
        <is>
          <t xml:space="preserve">   🏆  本月 Top 3 員警（公式自動，來源頁 10 績效統計）</t>
        </is>
      </c>
    </row>
    <row r="30" ht="34" customHeight="1">
      <c r="A30" s="10" t="inlineStr">
        <is>
          <t>排名</t>
        </is>
      </c>
      <c r="B30" s="10" t="inlineStr">
        <is>
          <t>員警姓名</t>
        </is>
      </c>
      <c r="C30" s="10" t="inlineStr">
        <is>
          <t>全般破獲</t>
        </is>
      </c>
      <c r="D30" s="10" t="inlineStr">
        <is>
          <t>竊盜</t>
        </is>
      </c>
      <c r="E30" s="10" t="inlineStr">
        <is>
          <t>詐欺</t>
        </is>
      </c>
      <c r="F30" s="10" t="inlineStr">
        <is>
          <t>毒品</t>
        </is>
      </c>
      <c r="G30" s="10" t="inlineStr">
        <is>
          <t>暴力犯罪</t>
        </is>
      </c>
      <c r="H30" s="10" t="inlineStr">
        <is>
          <t>其他</t>
        </is>
      </c>
    </row>
    <row r="31" ht="30" customHeight="1">
      <c r="A31" s="152">
        <f>IFERROR(績效統計!A19,"")</f>
        <v/>
      </c>
      <c r="B31" s="13">
        <f>IFERROR(績效統計!B19,"")</f>
        <v/>
      </c>
      <c r="C31" s="161">
        <f>IFERROR(績效統計!C19,"")</f>
        <v/>
      </c>
      <c r="D31" s="141">
        <f>IFERROR(績效統計!D19,"")</f>
        <v/>
      </c>
      <c r="E31" s="141">
        <f>IFERROR(績效統計!E19,"")</f>
        <v/>
      </c>
      <c r="F31" s="141">
        <f>IFERROR(績效統計!F19,"")</f>
        <v/>
      </c>
      <c r="G31" s="141">
        <f>IFERROR(績效統計!G19,"")</f>
        <v/>
      </c>
      <c r="H31" s="141">
        <f>IFERROR(績效統計!H19,"")</f>
        <v/>
      </c>
    </row>
    <row r="32" ht="30" customHeight="1">
      <c r="A32" s="152">
        <f>IFERROR(績效統計!A20,"")</f>
        <v/>
      </c>
      <c r="B32" s="13">
        <f>IFERROR(績效統計!B20,"")</f>
        <v/>
      </c>
      <c r="C32" s="161">
        <f>IFERROR(績效統計!C20,"")</f>
        <v/>
      </c>
      <c r="D32" s="141">
        <f>IFERROR(績效統計!D20,"")</f>
        <v/>
      </c>
      <c r="E32" s="141">
        <f>IFERROR(績效統計!E20,"")</f>
        <v/>
      </c>
      <c r="F32" s="141">
        <f>IFERROR(績效統計!F20,"")</f>
        <v/>
      </c>
      <c r="G32" s="141">
        <f>IFERROR(績效統計!G20,"")</f>
        <v/>
      </c>
      <c r="H32" s="141">
        <f>IFERROR(績效統計!H20,"")</f>
        <v/>
      </c>
    </row>
    <row r="33" ht="30" customHeight="1">
      <c r="A33" s="152">
        <f>IFERROR(績效統計!A21,"")</f>
        <v/>
      </c>
      <c r="B33" s="13">
        <f>IFERROR(績效統計!B21,"")</f>
        <v/>
      </c>
      <c r="C33" s="161">
        <f>IFERROR(績效統計!C21,"")</f>
        <v/>
      </c>
      <c r="D33" s="141">
        <f>IFERROR(績效統計!D21,"")</f>
        <v/>
      </c>
      <c r="E33" s="141">
        <f>IFERROR(績效統計!E21,"")</f>
        <v/>
      </c>
      <c r="F33" s="141">
        <f>IFERROR(績效統計!F21,"")</f>
        <v/>
      </c>
      <c r="G33" s="141">
        <f>IFERROR(績效統計!G21,"")</f>
        <v/>
      </c>
      <c r="H33" s="141">
        <f>IFERROR(績效統計!H21,"")</f>
        <v/>
      </c>
    </row>
    <row r="34" ht="12" customHeight="1"/>
    <row r="35" ht="36" customHeight="1">
      <c r="A35" s="193" t="inlineStr">
        <is>
          <t xml:space="preserve">  所長：__________________  簽章</t>
        </is>
      </c>
      <c r="B35" s="34" t="n"/>
      <c r="C35" s="34" t="n"/>
      <c r="D35" s="34" t="n"/>
      <c r="E35" s="193" t="inlineStr">
        <is>
          <t xml:space="preserve">  督導官：__________________  簽章</t>
        </is>
      </c>
      <c r="F35" s="34" t="n"/>
      <c r="G35" s="34" t="n"/>
      <c r="H35" s="34" t="n"/>
    </row>
    <row r="36" ht="22" customHeight="1">
      <c r="A36" s="82">
        <f>"© KKEVIN-LIN-2026-V2.0  ｜  Pyramid Principle 5 分鐘簡報  ｜  A4 直式可獨立交付督導官  ｜  製表："&amp;TEXT(今日,"e/mm/dd")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27">
    <mergeCell ref="A9:H9"/>
    <mergeCell ref="A15:H15"/>
    <mergeCell ref="A35:D35"/>
    <mergeCell ref="A24:H24"/>
    <mergeCell ref="A36:H36"/>
    <mergeCell ref="A11:H11"/>
    <mergeCell ref="A1:H1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E35:H35"/>
    <mergeCell ref="A14:H14"/>
    <mergeCell ref="A5:H5"/>
    <mergeCell ref="A23:H23"/>
    <mergeCell ref="A17:H17"/>
    <mergeCell ref="A29:H29"/>
    <mergeCell ref="A20:H20"/>
    <mergeCell ref="A10:H10"/>
    <mergeCell ref="A6:H7"/>
    <mergeCell ref="A13:H13"/>
    <mergeCell ref="A19:H19"/>
  </mergeCells>
  <printOptions horizontalCentered="1"/>
  <pageMargins left="0.4" right="0.4" top="0.5" bottom="0.5" header="0.3" footer="0.3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52" customHeight="1">
      <c r="A1" s="27" t="inlineStr">
        <is>
          <t xml:space="preserve">   📋  對上級機關上呈（公文格式 — 三層動態切換）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 &amp; 警察局名稱 &amp; " · " &amp; 分局名稱 &amp; " · " &amp; 派出所名稱 &amp; "  ｜  中華民國 " &amp; (YEAR(今日)-1911) &amp; " 年 " &amp; TEXT(MONTH(今日),"00") &amp; " 月  ｜  公文體例：三線表 / 官方藍 / 章戳"</f>
        <v/>
      </c>
    </row>
    <row r="3" ht="32" customHeight="1">
      <c r="A3" s="3" t="inlineStr">
        <is>
          <t xml:space="preserve">  上呈對象：</t>
        </is>
      </c>
      <c r="B3" s="222" t="inlineStr">
        <is>
          <t>對分局</t>
        </is>
      </c>
      <c r="C3" s="165">
        <f>CHOOSE(MATCH(B3,{"對分局","對警察局","對警政署"},0),"📂 詳細五領域 KPI ｜ 列印 A4 ×2-3 頁","📂 月報摘要 + 全市比較 ｜ 列印 A4 ×1-2 頁","📂 全國標準格式 ｜ 列印 A4 ×1 頁")</f>
        <v/>
      </c>
      <c r="D3" s="7" t="n"/>
      <c r="E3" s="7" t="n"/>
      <c r="F3" s="7" t="n"/>
      <c r="G3" s="7" t="n"/>
      <c r="H3" s="8" t="n"/>
    </row>
    <row r="4" ht="8" customHeight="1"/>
    <row r="5" ht="34" customHeight="1">
      <c r="A5" s="39" t="inlineStr">
        <is>
          <t xml:space="preserve">   ★  公文抬頭（依上呈對象動態切換）</t>
        </is>
      </c>
    </row>
    <row r="6" ht="36" customHeight="1">
      <c r="A6" s="200">
        <f>CHOOSE(MATCH(B3,{"對分局","對警察局","對警政署"},0),派出所名稱 &amp; " 中華民國 " &amp; (YEAR(今日)-1911) &amp; " 年 " &amp; TEXT(MONTH(今日),"00") &amp; " 月勤務報告（呈分局）",派出所名稱 &amp; " 中華民國 " &amp; (YEAR(今日)-1911) &amp; " 年 " &amp; TEXT(MONTH(今日),"00") &amp; " 月績效月報（呈警察局）",派出所名稱 &amp; " 中華民國 " &amp; (YEAR(今日)-1911) &amp; " 年 " &amp; TEXT(MONTH(今日),"00") &amp; " 月標準統計（呈警政署）")</f>
        <v/>
      </c>
      <c r="B6" s="7" t="n"/>
      <c r="C6" s="7" t="n"/>
      <c r="D6" s="7" t="n"/>
      <c r="E6" s="7" t="n"/>
      <c r="F6" s="7" t="n"/>
      <c r="G6" s="7" t="n"/>
      <c r="H6" s="8" t="n"/>
    </row>
    <row r="7" ht="24" customHeight="1">
      <c r="A7" s="95" t="inlineStr">
        <is>
          <t xml:space="preserve">  受文者：</t>
        </is>
      </c>
      <c r="B7" s="8" t="n"/>
      <c r="C7" s="13">
        <f>CHOOSE(MATCH(B3,{"對分局","對警察局","對警政署"},0),分局名稱 &amp; " 督導官",警察局名稱 &amp; " 刑事警察大隊","內政部警政署刑事警察局")</f>
        <v/>
      </c>
      <c r="D7" s="7" t="n"/>
      <c r="E7" s="7" t="n"/>
      <c r="F7" s="7" t="n"/>
      <c r="G7" s="7" t="n"/>
      <c r="H7" s="8" t="n"/>
    </row>
    <row r="8" ht="24" customHeight="1">
      <c r="A8" s="95" t="inlineStr">
        <is>
          <t xml:space="preserve">  主旨：</t>
        </is>
      </c>
      <c r="B8" s="8" t="n"/>
      <c r="C8" s="16">
        <f>CHOOSE(MATCH(B3,{"對分局","對警察局","對警政署"},0),"呈報本所本月勤務狀況、案件管制、毒調人口、交通取締五大領域 KPI","呈報本所本月績效摘要，並與全市平均比較","呈報本所本月全國統一格式刑案統計")</f>
        <v/>
      </c>
      <c r="D8" s="7" t="n"/>
      <c r="E8" s="7" t="n"/>
      <c r="F8" s="7" t="n"/>
      <c r="G8" s="7" t="n"/>
      <c r="H8" s="8" t="n"/>
    </row>
    <row r="9" ht="10" customHeight="1"/>
    <row r="10" ht="34" customHeight="1">
      <c r="A10" s="39" t="inlineStr">
        <is>
          <t xml:space="preserve">   ★  主要 KPI（年度累計，SSOT 自動聚合）</t>
        </is>
      </c>
    </row>
    <row r="11" ht="34" customHeight="1">
      <c r="A11" s="10" t="inlineStr">
        <is>
          <t>編號</t>
        </is>
      </c>
      <c r="B11" s="10" t="inlineStr">
        <is>
          <t>KPI 項目</t>
        </is>
      </c>
      <c r="C11" s="10" t="inlineStr">
        <is>
          <t>數值</t>
        </is>
      </c>
      <c r="D11" s="8" t="n"/>
      <c r="E11" s="10" t="inlineStr">
        <is>
          <t>目標</t>
        </is>
      </c>
      <c r="F11" s="8" t="n"/>
      <c r="G11" s="10" t="inlineStr">
        <is>
          <t>達標狀態</t>
        </is>
      </c>
      <c r="H11" s="8" t="n"/>
    </row>
    <row r="12" ht="30" customHeight="1">
      <c r="A12" s="152" t="inlineStr">
        <is>
          <t>01</t>
        </is>
      </c>
      <c r="B12" s="13" t="inlineStr">
        <is>
          <t>全般破獲率</t>
        </is>
      </c>
      <c r="C12" s="201">
        <f>IFERROR(COUNTIFS(Tbl案件[查獲管轄],"本轄",Tbl案件[是否破獲],"是",Tbl案件[歸屬年度],(YEAR(今日)-1911))/COUNTIFS(Tbl案件[發生管轄],"本轄",Tbl案件[歸屬年度],(YEAR(今日)-1911),Tbl案件[計入發生數],"是"),0)</f>
        <v/>
      </c>
      <c r="D12" s="8" t="n"/>
      <c r="E12" s="178">
        <f>0.85</f>
        <v/>
      </c>
      <c r="F12" s="8" t="n"/>
      <c r="G12" s="152">
        <f>IF(IFERROR(C12&gt;=0.85,FALSE),"● 達標","● 未達標")</f>
        <v/>
      </c>
      <c r="H12" s="8" t="n"/>
    </row>
    <row r="13" ht="30" customHeight="1">
      <c r="A13" s="152" t="inlineStr">
        <is>
          <t>02</t>
        </is>
      </c>
      <c r="B13" s="13" t="inlineStr">
        <is>
          <t>竊盜破獲率</t>
        </is>
      </c>
      <c r="C13" s="201">
        <f>管制總覽!G9</f>
        <v/>
      </c>
      <c r="D13" s="8" t="n"/>
      <c r="E13" s="178">
        <f>0.80</f>
        <v/>
      </c>
      <c r="F13" s="8" t="n"/>
      <c r="G13" s="152">
        <f>IF(IFERROR(C13&gt;=0.80,FALSE),"● 達標","● 未達標")</f>
        <v/>
      </c>
      <c r="H13" s="8" t="n"/>
    </row>
    <row r="14" ht="30" customHeight="1">
      <c r="A14" s="152" t="inlineStr">
        <is>
          <t>03</t>
        </is>
      </c>
      <c r="B14" s="13" t="inlineStr">
        <is>
          <t>詐欺破獲率</t>
        </is>
      </c>
      <c r="C14" s="201">
        <f>管制總覽!M9</f>
        <v/>
      </c>
      <c r="D14" s="8" t="n"/>
      <c r="E14" s="178">
        <f>0.60</f>
        <v/>
      </c>
      <c r="F14" s="8" t="n"/>
      <c r="G14" s="152">
        <f>IF(IFERROR(C14&gt;=0.60,FALSE),"● 達標","● 未達標")</f>
        <v/>
      </c>
      <c r="H14" s="8" t="n"/>
    </row>
    <row r="15" ht="30" customHeight="1">
      <c r="A15" s="152" t="inlineStr">
        <is>
          <t>04</t>
        </is>
      </c>
      <c r="B15" s="13" t="inlineStr">
        <is>
          <t>毒調率</t>
        </is>
      </c>
      <c r="C15" s="201">
        <f>管制總覽!A14</f>
        <v/>
      </c>
      <c r="D15" s="8" t="n"/>
      <c r="E15" s="178">
        <f>毒調率目標</f>
        <v/>
      </c>
      <c r="F15" s="8" t="n"/>
      <c r="G15" s="152">
        <f>IF(IFERROR(C15&gt;=毒調率目標,FALSE),"● 達標","● 未達標")</f>
        <v/>
      </c>
      <c r="H15" s="8" t="n"/>
    </row>
    <row r="16" ht="30" customHeight="1">
      <c r="A16" s="152" t="inlineStr">
        <is>
          <t>05</t>
        </is>
      </c>
      <c r="B16" s="13" t="inlineStr">
        <is>
          <t>未到驗人口</t>
        </is>
      </c>
      <c r="C16" s="202">
        <f>管制總覽!G14</f>
        <v/>
      </c>
      <c r="D16" s="8" t="n"/>
      <c r="E16" s="141">
        <f>5</f>
        <v/>
      </c>
      <c r="F16" s="8" t="n"/>
      <c r="G16" s="152">
        <f>IF(IFERROR(C16&lt;=5,FALSE),"● 達標","● 未達標")</f>
        <v/>
      </c>
      <c r="H16" s="8" t="n"/>
    </row>
    <row r="17" ht="30" customHeight="1">
      <c r="A17" s="152" t="inlineStr">
        <is>
          <t>06</t>
        </is>
      </c>
      <c r="B17" s="13" t="inlineStr">
        <is>
          <t>未破案件</t>
        </is>
      </c>
      <c r="C17" s="202">
        <f>管制總覽!M14</f>
        <v/>
      </c>
      <c r="D17" s="8" t="n"/>
      <c r="E17" s="141">
        <f>5</f>
        <v/>
      </c>
      <c r="F17" s="8" t="n"/>
      <c r="G17" s="152">
        <f>IF(IFERROR(C17&lt;=5,FALSE),"● 達標","● 未達標")</f>
        <v/>
      </c>
      <c r="H17" s="8" t="n"/>
    </row>
    <row r="18" ht="30" customHeight="1">
      <c r="A18" s="152" t="inlineStr">
        <is>
          <t>07</t>
        </is>
      </c>
      <c r="B18" s="13" t="inlineStr">
        <is>
          <t>交通達成率</t>
        </is>
      </c>
      <c r="C18" s="201">
        <f>交通績效管制!E8</f>
        <v/>
      </c>
      <c r="D18" s="8" t="n"/>
      <c r="E18" s="178">
        <f>0.80</f>
        <v/>
      </c>
      <c r="F18" s="8" t="n"/>
      <c r="G18" s="152">
        <f>IF(IFERROR(C18&gt;=0.80,FALSE),"● 達標","● 未達標")</f>
        <v/>
      </c>
      <c r="H18" s="8" t="n"/>
    </row>
    <row r="19" ht="30" customHeight="1">
      <c r="A19" s="152" t="inlineStr">
        <is>
          <t>08</t>
        </is>
      </c>
      <c r="B19" s="13" t="inlineStr">
        <is>
          <t>本所員警在職數</t>
        </is>
      </c>
      <c r="C19" s="202">
        <f>COUNTIF(設定表!$D$13:$D$72,"是")</f>
        <v/>
      </c>
      <c r="D19" s="8" t="n"/>
      <c r="E19" s="15" t="inlineStr">
        <is>
          <t>—</t>
        </is>
      </c>
      <c r="F19" s="8" t="n"/>
      <c r="G19" s="162">
        <f>"—"</f>
        <v/>
      </c>
      <c r="H19" s="8" t="n"/>
    </row>
    <row r="20" ht="10" customHeight="1"/>
    <row r="21" ht="34" customHeight="1">
      <c r="A21" s="39" t="inlineStr">
        <is>
          <t xml:space="preserve">   ★  必附附件（依上呈對象動態切換）</t>
        </is>
      </c>
    </row>
    <row r="22" ht="24" customHeight="1">
      <c r="A22" s="203">
        <f>CHOOSE(MATCH(B3,{"對分局","對警察局","對警政署"},0),"  附件 1：未破案件明細表（頁 6 列印）","  附件 1：案類分類統計（頁 10 列印）","  附件 1：標準破獲率表（頁 2 列印）")</f>
        <v/>
      </c>
      <c r="B22" s="7" t="n"/>
      <c r="C22" s="7" t="n"/>
      <c r="D22" s="7" t="n"/>
      <c r="E22" s="7" t="n"/>
      <c r="F22" s="7" t="n"/>
      <c r="G22" s="7" t="n"/>
      <c r="H22" s="8" t="n"/>
    </row>
    <row r="23" ht="24" customHeight="1">
      <c r="A23" s="203">
        <f>CHOOSE(MATCH(B3,{"對分局","對警察局","對警政署"},0),"  附件 2：員警勤務統計（頁 10 列印）","  附件 2：達標未達標項目清單（頁 9 列印）","  附件 2：列管人口處理（頁 8 列印）")</f>
        <v/>
      </c>
      <c r="B23" s="7" t="n"/>
      <c r="C23" s="7" t="n"/>
      <c r="D23" s="7" t="n"/>
      <c r="E23" s="7" t="n"/>
      <c r="F23" s="7" t="n"/>
      <c r="G23" s="7" t="n"/>
      <c r="H23" s="8" t="n"/>
    </row>
    <row r="24" ht="24" customHeight="1">
      <c r="A24" s="203">
        <f>CHOOSE(MATCH(B3,{"對分局","對警察局","對警政署"},0),"  附件 3：毒品調驗人口明細（頁 8 列印）","  附件 3：與全市平均比較表","  附件 3：違規取締達成統計（頁 9 列印）")</f>
        <v/>
      </c>
      <c r="B24" s="7" t="n"/>
      <c r="C24" s="7" t="n"/>
      <c r="D24" s="7" t="n"/>
      <c r="E24" s="7" t="n"/>
      <c r="F24" s="7" t="n"/>
      <c r="G24" s="7" t="n"/>
      <c r="H24" s="8" t="n"/>
    </row>
    <row r="25" ht="24" customHeight="1">
      <c r="A25" s="203">
        <f>CHOOSE(MATCH(B3,{"對分局","對警察局","對警政署"},0),"  附件 4：跨期間趨勢分析（頁 12 列印）","  （無）","  （無）")</f>
        <v/>
      </c>
      <c r="B25" s="7" t="n"/>
      <c r="C25" s="7" t="n"/>
      <c r="D25" s="7" t="n"/>
      <c r="E25" s="7" t="n"/>
      <c r="F25" s="7" t="n"/>
      <c r="G25" s="7" t="n"/>
      <c r="H25" s="8" t="n"/>
    </row>
    <row r="26" ht="12" customHeight="1"/>
    <row r="27" ht="36" customHeight="1">
      <c r="A27" s="193" t="inlineStr">
        <is>
          <t xml:space="preserve">  發文人：所長 __________________  簽章</t>
        </is>
      </c>
      <c r="B27" s="34" t="n"/>
      <c r="C27" s="34" t="n"/>
      <c r="D27" s="34" t="n"/>
      <c r="E27" s="193" t="inlineStr">
        <is>
          <t xml:space="preserve">  收文機關承辦：__________________  簽章</t>
        </is>
      </c>
      <c r="F27" s="34" t="n"/>
      <c r="G27" s="34" t="n"/>
      <c r="H27" s="34" t="n"/>
    </row>
    <row r="28" ht="22" customHeight="1">
      <c r="A28" s="82">
        <f>"© KKEVIN-LIN-2026-V2.0  ｜  CHOOSE/INDIRECT 動態切換  ｜  上呈對象：" &amp; B3 &amp; "  ｜  製表："&amp;TEXT(今日,"e/mm/dd")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45">
    <mergeCell ref="E12:F12"/>
    <mergeCell ref="G12:H12"/>
    <mergeCell ref="C15:D15"/>
    <mergeCell ref="A24:H24"/>
    <mergeCell ref="G11:H11"/>
    <mergeCell ref="C14:D14"/>
    <mergeCell ref="E14:F14"/>
    <mergeCell ref="A1:H1"/>
    <mergeCell ref="E17:F17"/>
    <mergeCell ref="G17:H17"/>
    <mergeCell ref="A6:H6"/>
    <mergeCell ref="A7:B7"/>
    <mergeCell ref="C16:D16"/>
    <mergeCell ref="A25:H25"/>
    <mergeCell ref="E19:F19"/>
    <mergeCell ref="G19:H19"/>
    <mergeCell ref="C8:H8"/>
    <mergeCell ref="E13:F13"/>
    <mergeCell ref="G13:H13"/>
    <mergeCell ref="G18:H18"/>
    <mergeCell ref="C7:H7"/>
    <mergeCell ref="C12:D12"/>
    <mergeCell ref="A21:H21"/>
    <mergeCell ref="E15:F15"/>
    <mergeCell ref="G15:H15"/>
    <mergeCell ref="C11:D11"/>
    <mergeCell ref="A2:H2"/>
    <mergeCell ref="E11:F11"/>
    <mergeCell ref="G14:H14"/>
    <mergeCell ref="A5:H5"/>
    <mergeCell ref="C3:H3"/>
    <mergeCell ref="A23:H23"/>
    <mergeCell ref="C17:D17"/>
    <mergeCell ref="A8:B8"/>
    <mergeCell ref="A22:H22"/>
    <mergeCell ref="A27:D27"/>
    <mergeCell ref="E16:F16"/>
    <mergeCell ref="G16:H16"/>
    <mergeCell ref="C19:D19"/>
    <mergeCell ref="A10:H10"/>
    <mergeCell ref="A28:H28"/>
    <mergeCell ref="C13:D13"/>
    <mergeCell ref="C18:D18"/>
    <mergeCell ref="E18:F18"/>
    <mergeCell ref="E27:H27"/>
  </mergeCells>
  <dataValidations count="1">
    <dataValidation sqref="B3" showDropDown="0" showInputMessage="0" showErrorMessage="0" allowBlank="0" promptTitle="上呈對象切換" prompt="請選擇對象：分局／警察局／警政署" type="list">
      <formula1>"對分局,對警察局,對警政署"</formula1>
    </dataValidation>
  </dataValidations>
  <printOptions horizontalCentered="1"/>
  <pageMargins left="0.4" right="0.4" top="0.5" bottom="0.5" header="0.3" footer="0.3"/>
  <pageSetup orientation="portrait" paperSize="9" fitToHeight="3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2" customWidth="1" min="4" max="4"/>
    <col width="26" customWidth="1" min="5" max="5"/>
    <col width="22" customWidth="1" min="6" max="6"/>
    <col width="26" customWidth="1" min="7" max="7"/>
    <col width="36" customWidth="1" min="8" max="8"/>
    <col width="14" customWidth="1" min="9" max="9"/>
    <col width="18" customWidth="1" min="10" max="10"/>
    <col width="12" customWidth="1" min="11" max="11"/>
    <col width="12" customWidth="1" min="12" max="12"/>
    <col width="14" customWidth="1" min="13" max="13"/>
    <col width="28" customWidth="1" min="14" max="14"/>
    <col width="14" customWidth="1" min="15" max="15"/>
    <col width="18" customWidth="1" min="16" max="16"/>
    <col width="12" customWidth="1" min="17" max="17"/>
    <col width="10" customWidth="1" min="18" max="18"/>
    <col width="12" customWidth="1" min="19" max="19"/>
    <col width="12" customWidth="1" min="20" max="20"/>
    <col width="14" customWidth="1" min="21" max="21"/>
    <col width="12" customWidth="1" min="22" max="22"/>
    <col width="14" customWidth="1" min="23" max="23"/>
    <col width="12" customWidth="1" min="24" max="24"/>
    <col width="18" customWidth="1" min="25" max="25"/>
  </cols>
  <sheetData>
    <row r="1" ht="52" customHeight="1">
      <c r="A1" s="27" t="inlineStr">
        <is>
          <t xml:space="preserve">   📋  案件資料庫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"📊 容量：" &amp; IFERROR(COUNTA(Tbl案件[編號]),0) &amp; " / 1000 列  ｜  " &amp; IF(COUNTA(Tbl案件[編號])&gt;=950,"🚨 容量即將滿，請立即歸檔",IF(COUNTA(Tbl案件[編號])&gt;=800,"⚠ 已達 80% 容量警戒，建議規劃歸檔","✓ 容量充裕")) &amp; "  ｜  🔒 受保護（密碼：KD2026）"</f>
        <v/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7" t="n"/>
      <c r="G4" s="7" t="n"/>
      <c r="H4" s="8" t="n"/>
    </row>
    <row r="5" ht="26" customHeight="1">
      <c r="A5" s="28" t="inlineStr">
        <is>
          <t xml:space="preserve">   🔗  SSOT：本表 Tbl案件 是其他頁面公式的資料源。修改後其他頁的 KPI、報告、檢核都會即時更新</t>
        </is>
      </c>
      <c r="B5" s="7" t="n"/>
      <c r="C5" s="7" t="n"/>
      <c r="D5" s="7" t="n"/>
      <c r="E5" s="7" t="n"/>
      <c r="F5" s="7" t="n"/>
      <c r="G5" s="7" t="n"/>
      <c r="H5" s="8" t="n"/>
    </row>
    <row r="6" ht="6" customHeight="1"/>
    <row r="7" ht="6" customHeight="1"/>
    <row r="8" ht="6" customHeight="1"/>
    <row r="9" ht="6" customHeight="1"/>
    <row r="10" ht="6" customHeight="1"/>
    <row r="11" ht="6" customHeight="1"/>
    <row r="12" ht="6" customHeight="1"/>
    <row r="13" ht="16" customHeight="1"/>
    <row r="14" ht="34" customHeight="1">
      <c r="A14" s="10" t="inlineStr">
        <is>
          <t>編號</t>
        </is>
      </c>
      <c r="B14" s="10" t="inlineStr">
        <is>
          <t>案類</t>
        </is>
      </c>
      <c r="C14" s="10" t="inlineStr">
        <is>
          <t>E化案號</t>
        </is>
      </c>
      <c r="D14" s="10" t="inlineStr">
        <is>
          <t>發生時間</t>
        </is>
      </c>
      <c r="E14" s="10" t="inlineStr">
        <is>
          <t>發生地點</t>
        </is>
      </c>
      <c r="F14" s="10" t="inlineStr">
        <is>
          <t>破獲時間</t>
        </is>
      </c>
      <c r="G14" s="10" t="inlineStr">
        <is>
          <t>破獲地點</t>
        </is>
      </c>
      <c r="H14" s="10" t="inlineStr">
        <is>
          <t>案情摘要</t>
        </is>
      </c>
      <c r="I14" s="10" t="inlineStr">
        <is>
          <t>偵辦進度</t>
        </is>
      </c>
      <c r="J14" s="10" t="inlineStr">
        <is>
          <t>案件狀況</t>
        </is>
      </c>
      <c r="K14" s="10" t="inlineStr">
        <is>
          <t>發生管轄</t>
        </is>
      </c>
      <c r="L14" s="10" t="inlineStr">
        <is>
          <t>查獲管轄</t>
        </is>
      </c>
      <c r="M14" s="10" t="inlineStr">
        <is>
          <t>承辦人</t>
        </is>
      </c>
      <c r="N14" s="10" t="inlineStr">
        <is>
          <t>備註</t>
        </is>
      </c>
      <c r="O14" s="10" t="inlineStr">
        <is>
          <t>涉案金額</t>
        </is>
      </c>
      <c r="P14" s="10" t="inlineStr">
        <is>
          <t>建立日期</t>
        </is>
      </c>
      <c r="Q14" s="10" t="inlineStr">
        <is>
          <t>建立者</t>
        </is>
      </c>
      <c r="R14" s="10" t="inlineStr">
        <is>
          <t>是否破獲</t>
        </is>
      </c>
      <c r="S14" s="10" t="inlineStr">
        <is>
          <t>歸屬年度</t>
        </is>
      </c>
      <c r="T14" s="10" t="inlineStr">
        <is>
          <t>案類分類</t>
        </is>
      </c>
      <c r="U14" s="10" t="inlineStr">
        <is>
          <t>是否納入統計</t>
        </is>
      </c>
      <c r="V14" s="10" t="inlineStr">
        <is>
          <t>主排序鍵</t>
        </is>
      </c>
      <c r="W14" s="10" t="inlineStr">
        <is>
          <t>績效類別</t>
        </is>
      </c>
      <c r="X14" s="10" t="inlineStr">
        <is>
          <t>計入發生數</t>
        </is>
      </c>
      <c r="Y14" s="10" t="inlineStr">
        <is>
          <t>自填案類</t>
        </is>
      </c>
    </row>
    <row r="15" ht="30" customHeight="1">
      <c r="A15" s="223" t="n"/>
      <c r="B15" s="223" t="n"/>
      <c r="C15" s="223" t="n"/>
      <c r="D15" s="224" t="n"/>
      <c r="E15" s="223" t="n"/>
      <c r="F15" s="224" t="inlineStr"/>
      <c r="G15" s="223" t="inlineStr"/>
      <c r="H15" s="223" t="n"/>
      <c r="I15" s="223" t="n"/>
      <c r="J15" s="223" t="n"/>
      <c r="K15" s="223" t="n"/>
      <c r="L15" s="223" t="inlineStr"/>
      <c r="M15" s="223" t="n"/>
      <c r="N15" s="223" t="n"/>
      <c r="O15" s="225" t="n"/>
      <c r="P15" s="226" t="n"/>
      <c r="Q15" s="223" t="n"/>
      <c r="R15" s="15">
        <f>IFERROR(IF(OR([@案件狀況]="已破獲未移送",[@案件狀況]="已移送"),"是","否"),"")</f>
        <v/>
      </c>
      <c r="S15" s="15">
        <f>IFERROR(IF([@發生時間]="","",YEAR([@發生時間])-1911),"")</f>
        <v/>
      </c>
      <c r="T15" s="15">
        <f>IFERROR(INDEX(案類分類清單,MATCH([@案類],案類名稱清單,0)),"")</f>
        <v/>
      </c>
      <c r="U15" s="15">
        <f>IFERROR(INDEX(納入全般清單,MATCH([@案類],案類名稱清單,0)),"否")</f>
        <v/>
      </c>
      <c r="V15" s="15">
        <f>IFERROR([@歸屬年度]*10000+IFERROR(MATCH([@案件狀況],{"尚未偵破","已破獲未移送","已移送","簽結"},0),0)*100+ROW(),0)</f>
        <v/>
      </c>
      <c r="W15" s="223" t="inlineStr"/>
      <c r="X15" s="15">
        <f>IFERROR(IF([@績效類別]="","是","否"),"是")</f>
        <v/>
      </c>
      <c r="Y15" s="223" t="inlineStr"/>
    </row>
    <row r="16" ht="30" customHeight="1">
      <c r="A16" s="223" t="n"/>
      <c r="B16" s="223" t="n"/>
      <c r="C16" s="223" t="n"/>
      <c r="D16" s="224" t="n"/>
      <c r="E16" s="223" t="n"/>
      <c r="F16" s="224" t="n"/>
      <c r="G16" s="223" t="n"/>
      <c r="H16" s="223" t="n"/>
      <c r="I16" s="223" t="n"/>
      <c r="J16" s="223" t="n"/>
      <c r="K16" s="223" t="n"/>
      <c r="L16" s="223" t="n"/>
      <c r="M16" s="223" t="n"/>
      <c r="N16" s="223" t="n"/>
      <c r="O16" s="225" t="n"/>
      <c r="P16" s="226" t="n"/>
      <c r="Q16" s="223" t="n"/>
      <c r="R16" s="15">
        <f>IFERROR(IF(OR([@案件狀況]="已破獲未移送",[@案件狀況]="已移送"),"是","否"),"")</f>
        <v/>
      </c>
      <c r="S16" s="15">
        <f>IFERROR(IF([@發生時間]="","",YEAR([@發生時間])-1911),"")</f>
        <v/>
      </c>
      <c r="T16" s="15">
        <f>IFERROR(INDEX(案類分類清單,MATCH([@案類],案類名稱清單,0)),"")</f>
        <v/>
      </c>
      <c r="U16" s="15">
        <f>IFERROR(INDEX(納入全般清單,MATCH([@案類],案類名稱清單,0)),"否")</f>
        <v/>
      </c>
      <c r="V16" s="15">
        <f>IFERROR([@歸屬年度]*10000+IFERROR(MATCH([@案件狀況],{"尚未偵破","已破獲未移送","已移送","簽結"},0),0)*100+ROW(),0)</f>
        <v/>
      </c>
      <c r="W16" s="223" t="inlineStr"/>
      <c r="X16" s="15">
        <f>IFERROR(IF([@績效類別]="","是","否"),"是")</f>
        <v/>
      </c>
      <c r="Y16" s="223" t="inlineStr"/>
    </row>
    <row r="17" ht="30" customHeight="1">
      <c r="A17" s="223" t="n"/>
      <c r="B17" s="223" t="n"/>
      <c r="C17" s="223" t="n"/>
      <c r="D17" s="224" t="n"/>
      <c r="E17" s="223" t="n"/>
      <c r="F17" s="224" t="n"/>
      <c r="G17" s="223" t="n"/>
      <c r="H17" s="223" t="n"/>
      <c r="I17" s="223" t="n"/>
      <c r="J17" s="223" t="n"/>
      <c r="K17" s="223" t="n"/>
      <c r="L17" s="223" t="n"/>
      <c r="M17" s="223" t="n"/>
      <c r="N17" s="223" t="n"/>
      <c r="O17" s="225" t="n"/>
      <c r="P17" s="226" t="n"/>
      <c r="Q17" s="223" t="n"/>
      <c r="R17" s="15">
        <f>IFERROR(IF(OR([@案件狀況]="已破獲未移送",[@案件狀況]="已移送"),"是","否"),"")</f>
        <v/>
      </c>
      <c r="S17" s="15">
        <f>IFERROR(IF([@發生時間]="","",YEAR([@發生時間])-1911),"")</f>
        <v/>
      </c>
      <c r="T17" s="15">
        <f>IFERROR(INDEX(案類分類清單,MATCH([@案類],案類名稱清單,0)),"")</f>
        <v/>
      </c>
      <c r="U17" s="15">
        <f>IFERROR(INDEX(納入全般清單,MATCH([@案類],案類名稱清單,0)),"否")</f>
        <v/>
      </c>
      <c r="V17" s="15">
        <f>IFERROR([@歸屬年度]*10000+IFERROR(MATCH([@案件狀況],{"尚未偵破","已破獲未移送","已移送","簽結"},0),0)*100+ROW(),0)</f>
        <v/>
      </c>
      <c r="W17" s="223" t="n"/>
      <c r="X17" s="15">
        <f>IFERROR(IF([@績效類別]="","是","否"),"是")</f>
        <v/>
      </c>
      <c r="Y17" s="223" t="inlineStr"/>
    </row>
    <row r="18" ht="30" customHeight="1">
      <c r="A18" s="223" t="n"/>
      <c r="B18" s="223" t="n"/>
      <c r="C18" s="223" t="n"/>
      <c r="D18" s="224" t="n"/>
      <c r="E18" s="223" t="n"/>
      <c r="F18" s="224" t="n"/>
      <c r="G18" s="223" t="n"/>
      <c r="H18" s="223" t="n"/>
      <c r="I18" s="223" t="n"/>
      <c r="J18" s="223" t="n"/>
      <c r="K18" s="223" t="n"/>
      <c r="L18" s="223" t="n"/>
      <c r="M18" s="223" t="n"/>
      <c r="N18" s="223" t="n"/>
      <c r="O18" s="225" t="n"/>
      <c r="P18" s="226" t="n"/>
      <c r="Q18" s="223" t="n"/>
      <c r="R18" s="15">
        <f>IFERROR(IF(OR([@案件狀況]="已破獲未移送",[@案件狀況]="已移送"),"是","否"),"")</f>
        <v/>
      </c>
      <c r="S18" s="15">
        <f>IFERROR(IF([@發生時間]="","",YEAR([@發生時間])-1911),"")</f>
        <v/>
      </c>
      <c r="T18" s="15">
        <f>IFERROR(INDEX(案類分類清單,MATCH([@案類],案類名稱清單,0)),"")</f>
        <v/>
      </c>
      <c r="U18" s="15">
        <f>IFERROR(INDEX(納入全般清單,MATCH([@案類],案類名稱清單,0)),"否")</f>
        <v/>
      </c>
      <c r="V18" s="15">
        <f>IFERROR([@歸屬年度]*10000+IFERROR(MATCH([@案件狀況],{"尚未偵破","已破獲未移送","已移送","簽結"},0),0)*100+ROW(),0)</f>
        <v/>
      </c>
      <c r="W18" s="223" t="n"/>
      <c r="X18" s="15">
        <f>IFERROR(IF([@績效類別]="","是","否"),"是")</f>
        <v/>
      </c>
      <c r="Y18" s="223" t="inlineStr"/>
    </row>
    <row r="19" ht="30" customHeight="1">
      <c r="A19" s="227" t="n"/>
      <c r="B19" s="227" t="n"/>
      <c r="C19" s="227" t="n"/>
      <c r="D19" s="228" t="n"/>
      <c r="E19" s="227" t="n"/>
      <c r="F19" s="228" t="n"/>
      <c r="G19" s="227" t="n"/>
      <c r="H19" s="227" t="n"/>
      <c r="I19" s="227" t="n"/>
      <c r="J19" s="227" t="n"/>
      <c r="K19" s="227" t="n"/>
      <c r="L19" s="227" t="n"/>
      <c r="M19" s="227" t="n"/>
      <c r="N19" s="227" t="n"/>
      <c r="O19" s="229" t="n"/>
      <c r="P19" s="230" t="n"/>
      <c r="Q19" s="227" t="n"/>
      <c r="R19" s="15">
        <f>IFERROR(IF(OR([@案件狀況]="已破獲未移送",[@案件狀況]="已移送"),"是","否"),"")</f>
        <v/>
      </c>
      <c r="S19" s="15">
        <f>IFERROR(IF([@發生時間]="","",YEAR([@發生時間])-1911),"")</f>
        <v/>
      </c>
      <c r="T19" s="15">
        <f>IFERROR(INDEX(案類分類清單,MATCH([@案類],案類名稱清單,0)),"")</f>
        <v/>
      </c>
      <c r="U19" s="15">
        <f>IFERROR(INDEX(納入全般清單,MATCH([@案類],案類名稱清單,0)),"否")</f>
        <v/>
      </c>
      <c r="V19" s="15">
        <f>IFERROR([@歸屬年度]*10000+IFERROR(MATCH([@案件狀況],{"尚未偵破","已破獲未移送","已移送","簽結"},0),0)*100+ROW(),0)</f>
        <v/>
      </c>
      <c r="W19" s="227" t="n"/>
      <c r="X19" s="15">
        <f>IFERROR(IF([@績效類別]="","是","否"),"是")</f>
        <v/>
      </c>
      <c r="Y19" s="227" t="n"/>
    </row>
    <row r="20" ht="30" customHeight="1">
      <c r="A20" s="227" t="n"/>
      <c r="B20" s="227" t="n"/>
      <c r="C20" s="227" t="n"/>
      <c r="D20" s="228" t="n"/>
      <c r="E20" s="227" t="n"/>
      <c r="F20" s="228" t="n"/>
      <c r="G20" s="227" t="n"/>
      <c r="H20" s="227" t="n"/>
      <c r="I20" s="227" t="n"/>
      <c r="J20" s="227" t="n"/>
      <c r="K20" s="227" t="n"/>
      <c r="L20" s="227" t="n"/>
      <c r="M20" s="227" t="n"/>
      <c r="N20" s="227" t="n"/>
      <c r="O20" s="229" t="n"/>
      <c r="P20" s="230" t="n"/>
      <c r="Q20" s="227" t="n"/>
      <c r="R20" s="15">
        <f>IFERROR(IF(OR([@案件狀況]="已破獲未移送",[@案件狀況]="已移送"),"是","否"),"")</f>
        <v/>
      </c>
      <c r="S20" s="15">
        <f>IFERROR(IF([@發生時間]="","",YEAR([@發生時間])-1911),"")</f>
        <v/>
      </c>
      <c r="T20" s="15">
        <f>IFERROR(INDEX(案類分類清單,MATCH([@案類],案類名稱清單,0)),"")</f>
        <v/>
      </c>
      <c r="U20" s="15">
        <f>IFERROR(INDEX(納入全般清單,MATCH([@案類],案類名稱清單,0)),"否")</f>
        <v/>
      </c>
      <c r="V20" s="15">
        <f>IFERROR([@歸屬年度]*10000+IFERROR(MATCH([@案件狀況],{"尚未偵破","已破獲未移送","已移送","簽結"},0),0)*100+ROW(),0)</f>
        <v/>
      </c>
      <c r="W20" s="227" t="n"/>
      <c r="X20" s="15">
        <f>IFERROR(IF([@績效類別]="","是","否"),"是")</f>
        <v/>
      </c>
      <c r="Y20" s="227" t="n"/>
    </row>
    <row r="21" ht="30" customHeight="1">
      <c r="A21" s="227" t="n"/>
      <c r="B21" s="227" t="n"/>
      <c r="C21" s="227" t="n"/>
      <c r="D21" s="228" t="n"/>
      <c r="E21" s="227" t="n"/>
      <c r="F21" s="228" t="n"/>
      <c r="G21" s="227" t="n"/>
      <c r="H21" s="227" t="n"/>
      <c r="I21" s="227" t="n"/>
      <c r="J21" s="227" t="n"/>
      <c r="K21" s="227" t="n"/>
      <c r="L21" s="227" t="n"/>
      <c r="M21" s="227" t="n"/>
      <c r="N21" s="227" t="n"/>
      <c r="O21" s="229" t="n"/>
      <c r="P21" s="230" t="n"/>
      <c r="Q21" s="227" t="n"/>
      <c r="R21" s="15">
        <f>IFERROR(IF(OR([@案件狀況]="已破獲未移送",[@案件狀況]="已移送"),"是","否"),"")</f>
        <v/>
      </c>
      <c r="S21" s="15">
        <f>IFERROR(IF([@發生時間]="","",YEAR([@發生時間])-1911),"")</f>
        <v/>
      </c>
      <c r="T21" s="15">
        <f>IFERROR(INDEX(案類分類清單,MATCH([@案類],案類名稱清單,0)),"")</f>
        <v/>
      </c>
      <c r="U21" s="15">
        <f>IFERROR(INDEX(納入全般清單,MATCH([@案類],案類名稱清單,0)),"否")</f>
        <v/>
      </c>
      <c r="V21" s="15">
        <f>IFERROR([@歸屬年度]*10000+IFERROR(MATCH([@案件狀況],{"尚未偵破","已破獲未移送","已移送","簽結"},0),0)*100+ROW(),0)</f>
        <v/>
      </c>
      <c r="W21" s="227" t="n"/>
      <c r="X21" s="15">
        <f>IFERROR(IF([@績效類別]="","是","否"),"是")</f>
        <v/>
      </c>
      <c r="Y21" s="227" t="n"/>
    </row>
    <row r="22" ht="30" customHeight="1">
      <c r="A22" s="227" t="n"/>
      <c r="B22" s="227" t="n"/>
      <c r="C22" s="227" t="n"/>
      <c r="D22" s="228" t="n"/>
      <c r="E22" s="227" t="n"/>
      <c r="F22" s="228" t="n"/>
      <c r="G22" s="227" t="n"/>
      <c r="H22" s="227" t="n"/>
      <c r="I22" s="227" t="n"/>
      <c r="J22" s="227" t="n"/>
      <c r="K22" s="227" t="n"/>
      <c r="L22" s="227" t="n"/>
      <c r="M22" s="227" t="n"/>
      <c r="N22" s="227" t="n"/>
      <c r="O22" s="229" t="n"/>
      <c r="P22" s="230" t="n"/>
      <c r="Q22" s="227" t="n"/>
      <c r="R22" s="15">
        <f>IFERROR(IF(OR([@案件狀況]="已破獲未移送",[@案件狀況]="已移送"),"是","否"),"")</f>
        <v/>
      </c>
      <c r="S22" s="15">
        <f>IFERROR(IF([@發生時間]="","",YEAR([@發生時間])-1911),"")</f>
        <v/>
      </c>
      <c r="T22" s="15">
        <f>IFERROR(INDEX(案類分類清單,MATCH([@案類],案類名稱清單,0)),"")</f>
        <v/>
      </c>
      <c r="U22" s="15">
        <f>IFERROR(INDEX(納入全般清單,MATCH([@案類],案類名稱清單,0)),"否")</f>
        <v/>
      </c>
      <c r="V22" s="15">
        <f>IFERROR([@歸屬年度]*10000+IFERROR(MATCH([@案件狀況],{"尚未偵破","已破獲未移送","已移送","簽結"},0),0)*100+ROW(),0)</f>
        <v/>
      </c>
      <c r="W22" s="227" t="n"/>
      <c r="X22" s="15">
        <f>IFERROR(IF([@績效類別]="","是","否"),"是")</f>
        <v/>
      </c>
      <c r="Y22" s="227" t="n"/>
    </row>
    <row r="23" ht="30" customHeight="1">
      <c r="A23" s="227" t="n"/>
      <c r="B23" s="227" t="n"/>
      <c r="C23" s="227" t="n"/>
      <c r="D23" s="228" t="n"/>
      <c r="E23" s="227" t="n"/>
      <c r="F23" s="228" t="n"/>
      <c r="G23" s="227" t="n"/>
      <c r="H23" s="227" t="n"/>
      <c r="I23" s="227" t="n"/>
      <c r="J23" s="227" t="n"/>
      <c r="K23" s="227" t="n"/>
      <c r="L23" s="227" t="n"/>
      <c r="M23" s="227" t="n"/>
      <c r="N23" s="227" t="n"/>
      <c r="O23" s="229" t="n"/>
      <c r="P23" s="230" t="n"/>
      <c r="Q23" s="227" t="n"/>
      <c r="R23" s="15">
        <f>IFERROR(IF(OR([@案件狀況]="已破獲未移送",[@案件狀況]="已移送"),"是","否"),"")</f>
        <v/>
      </c>
      <c r="S23" s="15">
        <f>IFERROR(IF([@發生時間]="","",YEAR([@發生時間])-1911),"")</f>
        <v/>
      </c>
      <c r="T23" s="15">
        <f>IFERROR(INDEX(案類分類清單,MATCH([@案類],案類名稱清單,0)),"")</f>
        <v/>
      </c>
      <c r="U23" s="15">
        <f>IFERROR(INDEX(納入全般清單,MATCH([@案類],案類名稱清單,0)),"否")</f>
        <v/>
      </c>
      <c r="V23" s="15">
        <f>IFERROR([@歸屬年度]*10000+IFERROR(MATCH([@案件狀況],{"尚未偵破","已破獲未移送","已移送","簽結"},0),0)*100+ROW(),0)</f>
        <v/>
      </c>
      <c r="W23" s="227" t="n"/>
      <c r="X23" s="15">
        <f>IFERROR(IF([@績效類別]="","是","否"),"是")</f>
        <v/>
      </c>
      <c r="Y23" s="227" t="n"/>
    </row>
    <row r="24" ht="30" customHeight="1">
      <c r="A24" s="227" t="n"/>
      <c r="B24" s="227" t="n"/>
      <c r="C24" s="227" t="n"/>
      <c r="D24" s="228" t="n"/>
      <c r="E24" s="227" t="n"/>
      <c r="F24" s="228" t="n"/>
      <c r="G24" s="227" t="n"/>
      <c r="H24" s="227" t="n"/>
      <c r="I24" s="227" t="n"/>
      <c r="J24" s="227" t="n"/>
      <c r="K24" s="227" t="n"/>
      <c r="L24" s="227" t="n"/>
      <c r="M24" s="227" t="n"/>
      <c r="N24" s="227" t="n"/>
      <c r="O24" s="229" t="n"/>
      <c r="P24" s="230" t="n"/>
      <c r="Q24" s="227" t="n"/>
      <c r="R24" s="15">
        <f>IFERROR(IF(OR([@案件狀況]="已破獲未移送",[@案件狀況]="已移送"),"是","否"),"")</f>
        <v/>
      </c>
      <c r="S24" s="15">
        <f>IFERROR(IF([@發生時間]="","",YEAR([@發生時間])-1911),"")</f>
        <v/>
      </c>
      <c r="T24" s="15">
        <f>IFERROR(INDEX(案類分類清單,MATCH([@案類],案類名稱清單,0)),"")</f>
        <v/>
      </c>
      <c r="U24" s="15">
        <f>IFERROR(INDEX(納入全般清單,MATCH([@案類],案類名稱清單,0)),"否")</f>
        <v/>
      </c>
      <c r="V24" s="15">
        <f>IFERROR([@歸屬年度]*10000+IFERROR(MATCH([@案件狀況],{"尚未偵破","已破獲未移送","已移送","簽結"},0),0)*100+ROW(),0)</f>
        <v/>
      </c>
      <c r="W24" s="227" t="n"/>
      <c r="X24" s="15">
        <f>IFERROR(IF([@績效類別]="","是","否"),"是")</f>
        <v/>
      </c>
      <c r="Y24" s="227" t="n"/>
    </row>
    <row r="25" ht="30" customHeight="1">
      <c r="A25" s="227" t="n"/>
      <c r="B25" s="227" t="n"/>
      <c r="C25" s="227" t="n"/>
      <c r="D25" s="228" t="n"/>
      <c r="E25" s="227" t="n"/>
      <c r="F25" s="228" t="n"/>
      <c r="G25" s="227" t="n"/>
      <c r="H25" s="227" t="n"/>
      <c r="I25" s="227" t="n"/>
      <c r="J25" s="227" t="n"/>
      <c r="K25" s="227" t="n"/>
      <c r="L25" s="227" t="n"/>
      <c r="M25" s="227" t="n"/>
      <c r="N25" s="227" t="n"/>
      <c r="O25" s="229" t="n"/>
      <c r="P25" s="230" t="n"/>
      <c r="Q25" s="227" t="n"/>
      <c r="R25" s="15">
        <f>IFERROR(IF(OR([@案件狀況]="已破獲未移送",[@案件狀況]="已移送"),"是","否"),"")</f>
        <v/>
      </c>
      <c r="S25" s="15">
        <f>IFERROR(IF([@發生時間]="","",YEAR([@發生時間])-1911),"")</f>
        <v/>
      </c>
      <c r="T25" s="15">
        <f>IFERROR(INDEX(案類分類清單,MATCH([@案類],案類名稱清單,0)),"")</f>
        <v/>
      </c>
      <c r="U25" s="15">
        <f>IFERROR(INDEX(納入全般清單,MATCH([@案類],案類名稱清單,0)),"否")</f>
        <v/>
      </c>
      <c r="V25" s="15">
        <f>IFERROR([@歸屬年度]*10000+IFERROR(MATCH([@案件狀況],{"尚未偵破","已破獲未移送","已移送","簽結"},0),0)*100+ROW(),0)</f>
        <v/>
      </c>
      <c r="W25" s="227" t="n"/>
      <c r="X25" s="15">
        <f>IFERROR(IF([@績效類別]="","是","否"),"是")</f>
        <v/>
      </c>
      <c r="Y25" s="227" t="n"/>
    </row>
    <row r="26" ht="30" customHeight="1">
      <c r="A26" s="227" t="n"/>
      <c r="B26" s="227" t="n"/>
      <c r="C26" s="227" t="n"/>
      <c r="D26" s="228" t="n"/>
      <c r="E26" s="227" t="n"/>
      <c r="F26" s="228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9" t="n"/>
      <c r="P26" s="230" t="n"/>
      <c r="Q26" s="227" t="n"/>
      <c r="R26" s="15">
        <f>IFERROR(IF(OR([@案件狀況]="已破獲未移送",[@案件狀況]="已移送"),"是","否"),"")</f>
        <v/>
      </c>
      <c r="S26" s="15">
        <f>IFERROR(IF([@發生時間]="","",YEAR([@發生時間])-1911),"")</f>
        <v/>
      </c>
      <c r="T26" s="15">
        <f>IFERROR(INDEX(案類分類清單,MATCH([@案類],案類名稱清單,0)),"")</f>
        <v/>
      </c>
      <c r="U26" s="15">
        <f>IFERROR(INDEX(納入全般清單,MATCH([@案類],案類名稱清單,0)),"否")</f>
        <v/>
      </c>
      <c r="V26" s="15">
        <f>IFERROR([@歸屬年度]*10000+IFERROR(MATCH([@案件狀況],{"尚未偵破","已破獲未移送","已移送","簽結"},0),0)*100+ROW(),0)</f>
        <v/>
      </c>
      <c r="W26" s="227" t="n"/>
      <c r="X26" s="15">
        <f>IFERROR(IF([@績效類別]="","是","否"),"是")</f>
        <v/>
      </c>
      <c r="Y26" s="227" t="n"/>
    </row>
    <row r="27" ht="30" customHeight="1">
      <c r="A27" s="227" t="n"/>
      <c r="B27" s="227" t="n"/>
      <c r="C27" s="227" t="n"/>
      <c r="D27" s="228" t="n"/>
      <c r="E27" s="227" t="n"/>
      <c r="F27" s="228" t="n"/>
      <c r="G27" s="227" t="n"/>
      <c r="H27" s="227" t="n"/>
      <c r="I27" s="227" t="n"/>
      <c r="J27" s="227" t="n"/>
      <c r="K27" s="227" t="n"/>
      <c r="L27" s="227" t="n"/>
      <c r="M27" s="227" t="n"/>
      <c r="N27" s="227" t="n"/>
      <c r="O27" s="229" t="n"/>
      <c r="P27" s="230" t="n"/>
      <c r="Q27" s="227" t="n"/>
      <c r="R27" s="15">
        <f>IFERROR(IF(OR([@案件狀況]="已破獲未移送",[@案件狀況]="已移送"),"是","否"),"")</f>
        <v/>
      </c>
      <c r="S27" s="15">
        <f>IFERROR(IF([@發生時間]="","",YEAR([@發生時間])-1911),"")</f>
        <v/>
      </c>
      <c r="T27" s="15">
        <f>IFERROR(INDEX(案類分類清單,MATCH([@案類],案類名稱清單,0)),"")</f>
        <v/>
      </c>
      <c r="U27" s="15">
        <f>IFERROR(INDEX(納入全般清單,MATCH([@案類],案類名稱清單,0)),"否")</f>
        <v/>
      </c>
      <c r="V27" s="15">
        <f>IFERROR([@歸屬年度]*10000+IFERROR(MATCH([@案件狀況],{"尚未偵破","已破獲未移送","已移送","簽結"},0),0)*100+ROW(),0)</f>
        <v/>
      </c>
      <c r="W27" s="227" t="n"/>
      <c r="X27" s="15">
        <f>IFERROR(IF([@績效類別]="","是","否"),"是")</f>
        <v/>
      </c>
      <c r="Y27" s="227" t="n"/>
    </row>
    <row r="28" ht="30" customHeight="1">
      <c r="A28" s="227" t="n"/>
      <c r="B28" s="227" t="n"/>
      <c r="C28" s="227" t="n"/>
      <c r="D28" s="228" t="n"/>
      <c r="E28" s="227" t="n"/>
      <c r="F28" s="228" t="n"/>
      <c r="G28" s="227" t="n"/>
      <c r="H28" s="227" t="n"/>
      <c r="I28" s="227" t="n"/>
      <c r="J28" s="227" t="n"/>
      <c r="K28" s="227" t="n"/>
      <c r="L28" s="227" t="n"/>
      <c r="M28" s="227" t="n"/>
      <c r="N28" s="227" t="n"/>
      <c r="O28" s="229" t="n"/>
      <c r="P28" s="230" t="n"/>
      <c r="Q28" s="227" t="n"/>
      <c r="R28" s="15">
        <f>IFERROR(IF(OR([@案件狀況]="已破獲未移送",[@案件狀況]="已移送"),"是","否"),"")</f>
        <v/>
      </c>
      <c r="S28" s="15">
        <f>IFERROR(IF([@發生時間]="","",YEAR([@發生時間])-1911),"")</f>
        <v/>
      </c>
      <c r="T28" s="15">
        <f>IFERROR(INDEX(案類分類清單,MATCH([@案類],案類名稱清單,0)),"")</f>
        <v/>
      </c>
      <c r="U28" s="15">
        <f>IFERROR(INDEX(納入全般清單,MATCH([@案類],案類名稱清單,0)),"否")</f>
        <v/>
      </c>
      <c r="V28" s="15">
        <f>IFERROR([@歸屬年度]*10000+IFERROR(MATCH([@案件狀況],{"尚未偵破","已破獲未移送","已移送","簽結"},0),0)*100+ROW(),0)</f>
        <v/>
      </c>
      <c r="W28" s="227" t="n"/>
      <c r="X28" s="15">
        <f>IFERROR(IF([@績效類別]="","是","否"),"是")</f>
        <v/>
      </c>
      <c r="Y28" s="227" t="n"/>
    </row>
    <row r="29" ht="30" customHeight="1">
      <c r="A29" s="227" t="n"/>
      <c r="B29" s="227" t="n"/>
      <c r="C29" s="227" t="n"/>
      <c r="D29" s="228" t="n"/>
      <c r="E29" s="227" t="n"/>
      <c r="F29" s="228" t="n"/>
      <c r="G29" s="227" t="n"/>
      <c r="H29" s="227" t="n"/>
      <c r="I29" s="227" t="n"/>
      <c r="J29" s="227" t="n"/>
      <c r="K29" s="227" t="n"/>
      <c r="L29" s="227" t="n"/>
      <c r="M29" s="227" t="n"/>
      <c r="N29" s="227" t="n"/>
      <c r="O29" s="229" t="n"/>
      <c r="P29" s="230" t="n"/>
      <c r="Q29" s="227" t="n"/>
      <c r="R29" s="15">
        <f>IFERROR(IF(OR([@案件狀況]="已破獲未移送",[@案件狀況]="已移送"),"是","否"),"")</f>
        <v/>
      </c>
      <c r="S29" s="15">
        <f>IFERROR(IF([@發生時間]="","",YEAR([@發生時間])-1911),"")</f>
        <v/>
      </c>
      <c r="T29" s="15">
        <f>IFERROR(INDEX(案類分類清單,MATCH([@案類],案類名稱清單,0)),"")</f>
        <v/>
      </c>
      <c r="U29" s="15">
        <f>IFERROR(INDEX(納入全般清單,MATCH([@案類],案類名稱清單,0)),"否")</f>
        <v/>
      </c>
      <c r="V29" s="15">
        <f>IFERROR([@歸屬年度]*10000+IFERROR(MATCH([@案件狀況],{"尚未偵破","已破獲未移送","已移送","簽結"},0),0)*100+ROW(),0)</f>
        <v/>
      </c>
      <c r="W29" s="227" t="n"/>
      <c r="X29" s="15">
        <f>IFERROR(IF([@績效類別]="","是","否"),"是")</f>
        <v/>
      </c>
      <c r="Y29" s="227" t="n"/>
    </row>
    <row r="30" ht="30" customHeight="1">
      <c r="A30" s="227" t="n"/>
      <c r="B30" s="227" t="n"/>
      <c r="C30" s="227" t="n"/>
      <c r="D30" s="228" t="n"/>
      <c r="E30" s="227" t="n"/>
      <c r="F30" s="228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9" t="n"/>
      <c r="P30" s="230" t="n"/>
      <c r="Q30" s="227" t="n"/>
      <c r="R30" s="15">
        <f>IFERROR(IF(OR([@案件狀況]="已破獲未移送",[@案件狀況]="已移送"),"是","否"),"")</f>
        <v/>
      </c>
      <c r="S30" s="15">
        <f>IFERROR(IF([@發生時間]="","",YEAR([@發生時間])-1911),"")</f>
        <v/>
      </c>
      <c r="T30" s="15">
        <f>IFERROR(INDEX(案類分類清單,MATCH([@案類],案類名稱清單,0)),"")</f>
        <v/>
      </c>
      <c r="U30" s="15">
        <f>IFERROR(INDEX(納入全般清單,MATCH([@案類],案類名稱清單,0)),"否")</f>
        <v/>
      </c>
      <c r="V30" s="15">
        <f>IFERROR([@歸屬年度]*10000+IFERROR(MATCH([@案件狀況],{"尚未偵破","已破獲未移送","已移送","簽結"},0),0)*100+ROW(),0)</f>
        <v/>
      </c>
      <c r="W30" s="227" t="n"/>
      <c r="X30" s="15">
        <f>IFERROR(IF([@績效類別]="","是","否"),"是")</f>
        <v/>
      </c>
      <c r="Y30" s="227" t="n"/>
    </row>
    <row r="31" ht="30" customHeight="1">
      <c r="A31" s="227" t="n"/>
      <c r="B31" s="227" t="n"/>
      <c r="C31" s="227" t="n"/>
      <c r="D31" s="228" t="n"/>
      <c r="E31" s="227" t="n"/>
      <c r="F31" s="228" t="n"/>
      <c r="G31" s="227" t="n"/>
      <c r="H31" s="227" t="n"/>
      <c r="I31" s="227" t="n"/>
      <c r="J31" s="227" t="n"/>
      <c r="K31" s="227" t="n"/>
      <c r="L31" s="227" t="n"/>
      <c r="M31" s="227" t="n"/>
      <c r="N31" s="227" t="n"/>
      <c r="O31" s="229" t="n"/>
      <c r="P31" s="230" t="n"/>
      <c r="Q31" s="227" t="n"/>
      <c r="R31" s="15">
        <f>IFERROR(IF(OR([@案件狀況]="已破獲未移送",[@案件狀況]="已移送"),"是","否"),"")</f>
        <v/>
      </c>
      <c r="S31" s="15">
        <f>IFERROR(IF([@發生時間]="","",YEAR([@發生時間])-1911),"")</f>
        <v/>
      </c>
      <c r="T31" s="15">
        <f>IFERROR(INDEX(案類分類清單,MATCH([@案類],案類名稱清單,0)),"")</f>
        <v/>
      </c>
      <c r="U31" s="15">
        <f>IFERROR(INDEX(納入全般清單,MATCH([@案類],案類名稱清單,0)),"否")</f>
        <v/>
      </c>
      <c r="V31" s="15">
        <f>IFERROR([@歸屬年度]*10000+IFERROR(MATCH([@案件狀況],{"尚未偵破","已破獲未移送","已移送","簽結"},0),0)*100+ROW(),0)</f>
        <v/>
      </c>
      <c r="W31" s="227" t="n"/>
      <c r="X31" s="15">
        <f>IFERROR(IF([@績效類別]="","是","否"),"是")</f>
        <v/>
      </c>
      <c r="Y31" s="227" t="n"/>
    </row>
    <row r="32" ht="30" customHeight="1">
      <c r="A32" s="227" t="n"/>
      <c r="B32" s="227" t="n"/>
      <c r="C32" s="227" t="n"/>
      <c r="D32" s="228" t="n"/>
      <c r="E32" s="227" t="n"/>
      <c r="F32" s="228" t="n"/>
      <c r="G32" s="227" t="n"/>
      <c r="H32" s="227" t="n"/>
      <c r="I32" s="227" t="n"/>
      <c r="J32" s="227" t="n"/>
      <c r="K32" s="227" t="n"/>
      <c r="L32" s="227" t="n"/>
      <c r="M32" s="227" t="n"/>
      <c r="N32" s="227" t="n"/>
      <c r="O32" s="229" t="n"/>
      <c r="P32" s="230" t="n"/>
      <c r="Q32" s="227" t="n"/>
      <c r="R32" s="15">
        <f>IFERROR(IF(OR([@案件狀況]="已破獲未移送",[@案件狀況]="已移送"),"是","否"),"")</f>
        <v/>
      </c>
      <c r="S32" s="15">
        <f>IFERROR(IF([@發生時間]="","",YEAR([@發生時間])-1911),"")</f>
        <v/>
      </c>
      <c r="T32" s="15">
        <f>IFERROR(INDEX(案類分類清單,MATCH([@案類],案類名稱清單,0)),"")</f>
        <v/>
      </c>
      <c r="U32" s="15">
        <f>IFERROR(INDEX(納入全般清單,MATCH([@案類],案類名稱清單,0)),"否")</f>
        <v/>
      </c>
      <c r="V32" s="15">
        <f>IFERROR([@歸屬年度]*10000+IFERROR(MATCH([@案件狀況],{"尚未偵破","已破獲未移送","已移送","簽結"},0),0)*100+ROW(),0)</f>
        <v/>
      </c>
      <c r="W32" s="227" t="n"/>
      <c r="X32" s="15">
        <f>IFERROR(IF([@績效類別]="","是","否"),"是")</f>
        <v/>
      </c>
      <c r="Y32" s="227" t="n"/>
    </row>
    <row r="33" ht="30" customHeight="1">
      <c r="A33" s="227" t="n"/>
      <c r="B33" s="227" t="n"/>
      <c r="C33" s="227" t="n"/>
      <c r="D33" s="228" t="n"/>
      <c r="E33" s="227" t="n"/>
      <c r="F33" s="228" t="n"/>
      <c r="G33" s="227" t="n"/>
      <c r="H33" s="227" t="n"/>
      <c r="I33" s="227" t="n"/>
      <c r="J33" s="227" t="n"/>
      <c r="K33" s="227" t="n"/>
      <c r="L33" s="227" t="n"/>
      <c r="M33" s="227" t="n"/>
      <c r="N33" s="227" t="n"/>
      <c r="O33" s="229" t="n"/>
      <c r="P33" s="230" t="n"/>
      <c r="Q33" s="227" t="n"/>
      <c r="R33" s="15">
        <f>IFERROR(IF(OR([@案件狀況]="已破獲未移送",[@案件狀況]="已移送"),"是","否"),"")</f>
        <v/>
      </c>
      <c r="S33" s="15">
        <f>IFERROR(IF([@發生時間]="","",YEAR([@發生時間])-1911),"")</f>
        <v/>
      </c>
      <c r="T33" s="15">
        <f>IFERROR(INDEX(案類分類清單,MATCH([@案類],案類名稱清單,0)),"")</f>
        <v/>
      </c>
      <c r="U33" s="15">
        <f>IFERROR(INDEX(納入全般清單,MATCH([@案類],案類名稱清單,0)),"否")</f>
        <v/>
      </c>
      <c r="V33" s="15">
        <f>IFERROR([@歸屬年度]*10000+IFERROR(MATCH([@案件狀況],{"尚未偵破","已破獲未移送","已移送","簽結"},0),0)*100+ROW(),0)</f>
        <v/>
      </c>
      <c r="W33" s="227" t="n"/>
      <c r="X33" s="15">
        <f>IFERROR(IF([@績效類別]="","是","否"),"是")</f>
        <v/>
      </c>
      <c r="Y33" s="227" t="n"/>
    </row>
    <row r="34" ht="30" customHeight="1">
      <c r="A34" s="227" t="n"/>
      <c r="B34" s="227" t="n"/>
      <c r="C34" s="227" t="n"/>
      <c r="D34" s="228" t="n"/>
      <c r="E34" s="227" t="n"/>
      <c r="F34" s="228" t="n"/>
      <c r="G34" s="227" t="n"/>
      <c r="H34" s="227" t="n"/>
      <c r="I34" s="227" t="n"/>
      <c r="J34" s="227" t="n"/>
      <c r="K34" s="227" t="n"/>
      <c r="L34" s="227" t="n"/>
      <c r="M34" s="227" t="n"/>
      <c r="N34" s="227" t="n"/>
      <c r="O34" s="229" t="n"/>
      <c r="P34" s="230" t="n"/>
      <c r="Q34" s="227" t="n"/>
      <c r="R34" s="15">
        <f>IFERROR(IF(OR([@案件狀況]="已破獲未移送",[@案件狀況]="已移送"),"是","否"),"")</f>
        <v/>
      </c>
      <c r="S34" s="15">
        <f>IFERROR(IF([@發生時間]="","",YEAR([@發生時間])-1911),"")</f>
        <v/>
      </c>
      <c r="T34" s="15">
        <f>IFERROR(INDEX(案類分類清單,MATCH([@案類],案類名稱清單,0)),"")</f>
        <v/>
      </c>
      <c r="U34" s="15">
        <f>IFERROR(INDEX(納入全般清單,MATCH([@案類],案類名稱清單,0)),"否")</f>
        <v/>
      </c>
      <c r="V34" s="15">
        <f>IFERROR([@歸屬年度]*10000+IFERROR(MATCH([@案件狀況],{"尚未偵破","已破獲未移送","已移送","簽結"},0),0)*100+ROW(),0)</f>
        <v/>
      </c>
      <c r="W34" s="227" t="n"/>
      <c r="X34" s="15">
        <f>IFERROR(IF([@績效類別]="","是","否"),"是")</f>
        <v/>
      </c>
      <c r="Y34" s="227" t="n"/>
    </row>
    <row r="35" ht="30" customHeight="1">
      <c r="A35" s="227" t="n"/>
      <c r="B35" s="227" t="n"/>
      <c r="C35" s="227" t="n"/>
      <c r="D35" s="228" t="n"/>
      <c r="E35" s="227" t="n"/>
      <c r="F35" s="228" t="n"/>
      <c r="G35" s="227" t="n"/>
      <c r="H35" s="227" t="n"/>
      <c r="I35" s="227" t="n"/>
      <c r="J35" s="227" t="n"/>
      <c r="K35" s="227" t="n"/>
      <c r="L35" s="227" t="n"/>
      <c r="M35" s="227" t="n"/>
      <c r="N35" s="227" t="n"/>
      <c r="O35" s="229" t="n"/>
      <c r="P35" s="230" t="n"/>
      <c r="Q35" s="227" t="n"/>
      <c r="R35" s="15">
        <f>IFERROR(IF(OR([@案件狀況]="已破獲未移送",[@案件狀況]="已移送"),"是","否"),"")</f>
        <v/>
      </c>
      <c r="S35" s="15">
        <f>IFERROR(IF([@發生時間]="","",YEAR([@發生時間])-1911),"")</f>
        <v/>
      </c>
      <c r="T35" s="15">
        <f>IFERROR(INDEX(案類分類清單,MATCH([@案類],案類名稱清單,0)),"")</f>
        <v/>
      </c>
      <c r="U35" s="15">
        <f>IFERROR(INDEX(納入全般清單,MATCH([@案類],案類名稱清單,0)),"否")</f>
        <v/>
      </c>
      <c r="V35" s="15">
        <f>IFERROR([@歸屬年度]*10000+IFERROR(MATCH([@案件狀況],{"尚未偵破","已破獲未移送","已移送","簽結"},0),0)*100+ROW(),0)</f>
        <v/>
      </c>
      <c r="W35" s="227" t="n"/>
      <c r="X35" s="15">
        <f>IFERROR(IF([@績效類別]="","是","否"),"是")</f>
        <v/>
      </c>
      <c r="Y35" s="227" t="n"/>
    </row>
    <row r="36" ht="30" customHeight="1">
      <c r="A36" s="227" t="n"/>
      <c r="B36" s="227" t="n"/>
      <c r="C36" s="227" t="n"/>
      <c r="D36" s="228" t="n"/>
      <c r="E36" s="227" t="n"/>
      <c r="F36" s="228" t="n"/>
      <c r="G36" s="227" t="n"/>
      <c r="H36" s="227" t="n"/>
      <c r="I36" s="227" t="n"/>
      <c r="J36" s="227" t="n"/>
      <c r="K36" s="227" t="n"/>
      <c r="L36" s="227" t="n"/>
      <c r="M36" s="227" t="n"/>
      <c r="N36" s="227" t="n"/>
      <c r="O36" s="229" t="n"/>
      <c r="P36" s="230" t="n"/>
      <c r="Q36" s="227" t="n"/>
      <c r="R36" s="15">
        <f>IFERROR(IF(OR([@案件狀況]="已破獲未移送",[@案件狀況]="已移送"),"是","否"),"")</f>
        <v/>
      </c>
      <c r="S36" s="15">
        <f>IFERROR(IF([@發生時間]="","",YEAR([@發生時間])-1911),"")</f>
        <v/>
      </c>
      <c r="T36" s="15">
        <f>IFERROR(INDEX(案類分類清單,MATCH([@案類],案類名稱清單,0)),"")</f>
        <v/>
      </c>
      <c r="U36" s="15">
        <f>IFERROR(INDEX(納入全般清單,MATCH([@案類],案類名稱清單,0)),"否")</f>
        <v/>
      </c>
      <c r="V36" s="15">
        <f>IFERROR([@歸屬年度]*10000+IFERROR(MATCH([@案件狀況],{"尚未偵破","已破獲未移送","已移送","簽結"},0),0)*100+ROW(),0)</f>
        <v/>
      </c>
      <c r="W36" s="227" t="n"/>
      <c r="X36" s="15">
        <f>IFERROR(IF([@績效類別]="","是","否"),"是")</f>
        <v/>
      </c>
      <c r="Y36" s="227" t="n"/>
    </row>
    <row r="37" ht="30" customHeight="1">
      <c r="A37" s="227" t="n"/>
      <c r="B37" s="227" t="n"/>
      <c r="C37" s="227" t="n"/>
      <c r="D37" s="228" t="n"/>
      <c r="E37" s="227" t="n"/>
      <c r="F37" s="228" t="n"/>
      <c r="G37" s="227" t="n"/>
      <c r="H37" s="227" t="n"/>
      <c r="I37" s="227" t="n"/>
      <c r="J37" s="227" t="n"/>
      <c r="K37" s="227" t="n"/>
      <c r="L37" s="227" t="n"/>
      <c r="M37" s="227" t="n"/>
      <c r="N37" s="227" t="n"/>
      <c r="O37" s="229" t="n"/>
      <c r="P37" s="230" t="n"/>
      <c r="Q37" s="227" t="n"/>
      <c r="R37" s="15">
        <f>IFERROR(IF(OR([@案件狀況]="已破獲未移送",[@案件狀況]="已移送"),"是","否"),"")</f>
        <v/>
      </c>
      <c r="S37" s="15">
        <f>IFERROR(IF([@發生時間]="","",YEAR([@發生時間])-1911),"")</f>
        <v/>
      </c>
      <c r="T37" s="15">
        <f>IFERROR(INDEX(案類分類清單,MATCH([@案類],案類名稱清單,0)),"")</f>
        <v/>
      </c>
      <c r="U37" s="15">
        <f>IFERROR(INDEX(納入全般清單,MATCH([@案類],案類名稱清單,0)),"否")</f>
        <v/>
      </c>
      <c r="V37" s="15">
        <f>IFERROR([@歸屬年度]*10000+IFERROR(MATCH([@案件狀況],{"尚未偵破","已破獲未移送","已移送","簽結"},0),0)*100+ROW(),0)</f>
        <v/>
      </c>
      <c r="W37" s="227" t="n"/>
      <c r="X37" s="15">
        <f>IFERROR(IF([@績效類別]="","是","否"),"是")</f>
        <v/>
      </c>
      <c r="Y37" s="227" t="n"/>
    </row>
    <row r="38" ht="30" customHeight="1">
      <c r="A38" s="227" t="n"/>
      <c r="B38" s="227" t="n"/>
      <c r="C38" s="227" t="n"/>
      <c r="D38" s="228" t="n"/>
      <c r="E38" s="227" t="n"/>
      <c r="F38" s="228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9" t="n"/>
      <c r="P38" s="230" t="n"/>
      <c r="Q38" s="227" t="n"/>
      <c r="R38" s="15">
        <f>IFERROR(IF(OR([@案件狀況]="已破獲未移送",[@案件狀況]="已移送"),"是","否"),"")</f>
        <v/>
      </c>
      <c r="S38" s="15">
        <f>IFERROR(IF([@發生時間]="","",YEAR([@發生時間])-1911),"")</f>
        <v/>
      </c>
      <c r="T38" s="15">
        <f>IFERROR(INDEX(案類分類清單,MATCH([@案類],案類名稱清單,0)),"")</f>
        <v/>
      </c>
      <c r="U38" s="15">
        <f>IFERROR(INDEX(納入全般清單,MATCH([@案類],案類名稱清單,0)),"否")</f>
        <v/>
      </c>
      <c r="V38" s="15">
        <f>IFERROR([@歸屬年度]*10000+IFERROR(MATCH([@案件狀況],{"尚未偵破","已破獲未移送","已移送","簽結"},0),0)*100+ROW(),0)</f>
        <v/>
      </c>
      <c r="W38" s="227" t="n"/>
      <c r="X38" s="15">
        <f>IFERROR(IF([@績效類別]="","是","否"),"是")</f>
        <v/>
      </c>
      <c r="Y38" s="227" t="n"/>
    </row>
    <row r="39" ht="30" customHeight="1">
      <c r="A39" s="227" t="n"/>
      <c r="B39" s="227" t="n"/>
      <c r="C39" s="227" t="n"/>
      <c r="D39" s="228" t="n"/>
      <c r="E39" s="227" t="n"/>
      <c r="F39" s="228" t="n"/>
      <c r="G39" s="227" t="n"/>
      <c r="H39" s="227" t="n"/>
      <c r="I39" s="227" t="n"/>
      <c r="J39" s="227" t="n"/>
      <c r="K39" s="227" t="n"/>
      <c r="L39" s="227" t="n"/>
      <c r="M39" s="227" t="n"/>
      <c r="N39" s="227" t="n"/>
      <c r="O39" s="229" t="n"/>
      <c r="P39" s="230" t="n"/>
      <c r="Q39" s="227" t="n"/>
      <c r="R39" s="15">
        <f>IFERROR(IF(OR([@案件狀況]="已破獲未移送",[@案件狀況]="已移送"),"是","否"),"")</f>
        <v/>
      </c>
      <c r="S39" s="15">
        <f>IFERROR(IF([@發生時間]="","",YEAR([@發生時間])-1911),"")</f>
        <v/>
      </c>
      <c r="T39" s="15">
        <f>IFERROR(INDEX(案類分類清單,MATCH([@案類],案類名稱清單,0)),"")</f>
        <v/>
      </c>
      <c r="U39" s="15">
        <f>IFERROR(INDEX(納入全般清單,MATCH([@案類],案類名稱清單,0)),"否")</f>
        <v/>
      </c>
      <c r="V39" s="15">
        <f>IFERROR([@歸屬年度]*10000+IFERROR(MATCH([@案件狀況],{"尚未偵破","已破獲未移送","已移送","簽結"},0),0)*100+ROW(),0)</f>
        <v/>
      </c>
      <c r="W39" s="227" t="n"/>
      <c r="X39" s="15">
        <f>IFERROR(IF([@績效類別]="","是","否"),"是")</f>
        <v/>
      </c>
      <c r="Y39" s="227" t="n"/>
    </row>
    <row r="40" ht="30" customHeight="1">
      <c r="A40" s="227" t="n"/>
      <c r="B40" s="227" t="n"/>
      <c r="C40" s="227" t="n"/>
      <c r="D40" s="228" t="n"/>
      <c r="E40" s="227" t="n"/>
      <c r="F40" s="228" t="n"/>
      <c r="G40" s="227" t="n"/>
      <c r="H40" s="227" t="n"/>
      <c r="I40" s="227" t="n"/>
      <c r="J40" s="227" t="n"/>
      <c r="K40" s="227" t="n"/>
      <c r="L40" s="227" t="n"/>
      <c r="M40" s="227" t="n"/>
      <c r="N40" s="227" t="n"/>
      <c r="O40" s="229" t="n"/>
      <c r="P40" s="230" t="n"/>
      <c r="Q40" s="227" t="n"/>
      <c r="R40" s="15">
        <f>IFERROR(IF(OR([@案件狀況]="已破獲未移送",[@案件狀況]="已移送"),"是","否"),"")</f>
        <v/>
      </c>
      <c r="S40" s="15">
        <f>IFERROR(IF([@發生時間]="","",YEAR([@發生時間])-1911),"")</f>
        <v/>
      </c>
      <c r="T40" s="15">
        <f>IFERROR(INDEX(案類分類清單,MATCH([@案類],案類名稱清單,0)),"")</f>
        <v/>
      </c>
      <c r="U40" s="15">
        <f>IFERROR(INDEX(納入全般清單,MATCH([@案類],案類名稱清單,0)),"否")</f>
        <v/>
      </c>
      <c r="V40" s="15">
        <f>IFERROR([@歸屬年度]*10000+IFERROR(MATCH([@案件狀況],{"尚未偵破","已破獲未移送","已移送","簽結"},0),0)*100+ROW(),0)</f>
        <v/>
      </c>
      <c r="W40" s="227" t="n"/>
      <c r="X40" s="15">
        <f>IFERROR(IF([@績效類別]="","是","否"),"是")</f>
        <v/>
      </c>
      <c r="Y40" s="227" t="n"/>
    </row>
    <row r="41" ht="30" customHeight="1">
      <c r="A41" s="227" t="n"/>
      <c r="B41" s="227" t="n"/>
      <c r="C41" s="227" t="n"/>
      <c r="D41" s="228" t="n"/>
      <c r="E41" s="227" t="n"/>
      <c r="F41" s="228" t="n"/>
      <c r="G41" s="227" t="n"/>
      <c r="H41" s="227" t="n"/>
      <c r="I41" s="227" t="n"/>
      <c r="J41" s="227" t="n"/>
      <c r="K41" s="227" t="n"/>
      <c r="L41" s="227" t="n"/>
      <c r="M41" s="227" t="n"/>
      <c r="N41" s="227" t="n"/>
      <c r="O41" s="229" t="n"/>
      <c r="P41" s="230" t="n"/>
      <c r="Q41" s="227" t="n"/>
      <c r="R41" s="15">
        <f>IFERROR(IF(OR([@案件狀況]="已破獲未移送",[@案件狀況]="已移送"),"是","否"),"")</f>
        <v/>
      </c>
      <c r="S41" s="15">
        <f>IFERROR(IF([@發生時間]="","",YEAR([@發生時間])-1911),"")</f>
        <v/>
      </c>
      <c r="T41" s="15">
        <f>IFERROR(INDEX(案類分類清單,MATCH([@案類],案類名稱清單,0)),"")</f>
        <v/>
      </c>
      <c r="U41" s="15">
        <f>IFERROR(INDEX(納入全般清單,MATCH([@案類],案類名稱清單,0)),"否")</f>
        <v/>
      </c>
      <c r="V41" s="15">
        <f>IFERROR([@歸屬年度]*10000+IFERROR(MATCH([@案件狀況],{"尚未偵破","已破獲未移送","已移送","簽結"},0),0)*100+ROW(),0)</f>
        <v/>
      </c>
      <c r="W41" s="227" t="n"/>
      <c r="X41" s="15">
        <f>IFERROR(IF([@績效類別]="","是","否"),"是")</f>
        <v/>
      </c>
      <c r="Y41" s="227" t="n"/>
    </row>
    <row r="42" ht="30" customHeight="1">
      <c r="A42" s="227" t="n"/>
      <c r="B42" s="227" t="n"/>
      <c r="C42" s="227" t="n"/>
      <c r="D42" s="228" t="n"/>
      <c r="E42" s="227" t="n"/>
      <c r="F42" s="228" t="n"/>
      <c r="G42" s="227" t="n"/>
      <c r="H42" s="227" t="n"/>
      <c r="I42" s="227" t="n"/>
      <c r="J42" s="227" t="n"/>
      <c r="K42" s="227" t="n"/>
      <c r="L42" s="227" t="n"/>
      <c r="M42" s="227" t="n"/>
      <c r="N42" s="227" t="n"/>
      <c r="O42" s="229" t="n"/>
      <c r="P42" s="230" t="n"/>
      <c r="Q42" s="227" t="n"/>
      <c r="R42" s="15">
        <f>IFERROR(IF(OR([@案件狀況]="已破獲未移送",[@案件狀況]="已移送"),"是","否"),"")</f>
        <v/>
      </c>
      <c r="S42" s="15">
        <f>IFERROR(IF([@發生時間]="","",YEAR([@發生時間])-1911),"")</f>
        <v/>
      </c>
      <c r="T42" s="15">
        <f>IFERROR(INDEX(案類分類清單,MATCH([@案類],案類名稱清單,0)),"")</f>
        <v/>
      </c>
      <c r="U42" s="15">
        <f>IFERROR(INDEX(納入全般清單,MATCH([@案類],案類名稱清單,0)),"否")</f>
        <v/>
      </c>
      <c r="V42" s="15">
        <f>IFERROR([@歸屬年度]*10000+IFERROR(MATCH([@案件狀況],{"尚未偵破","已破獲未移送","已移送","簽結"},0),0)*100+ROW(),0)</f>
        <v/>
      </c>
      <c r="W42" s="227" t="n"/>
      <c r="X42" s="15">
        <f>IFERROR(IF([@績效類別]="","是","否"),"是")</f>
        <v/>
      </c>
      <c r="Y42" s="227" t="n"/>
    </row>
    <row r="43" ht="30" customHeight="1">
      <c r="A43" s="227" t="n"/>
      <c r="B43" s="227" t="n"/>
      <c r="C43" s="227" t="n"/>
      <c r="D43" s="228" t="n"/>
      <c r="E43" s="227" t="n"/>
      <c r="F43" s="228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9" t="n"/>
      <c r="P43" s="230" t="n"/>
      <c r="Q43" s="227" t="n"/>
      <c r="R43" s="15">
        <f>IFERROR(IF(OR([@案件狀況]="已破獲未移送",[@案件狀況]="已移送"),"是","否"),"")</f>
        <v/>
      </c>
      <c r="S43" s="15">
        <f>IFERROR(IF([@發生時間]="","",YEAR([@發生時間])-1911),"")</f>
        <v/>
      </c>
      <c r="T43" s="15">
        <f>IFERROR(INDEX(案類分類清單,MATCH([@案類],案類名稱清單,0)),"")</f>
        <v/>
      </c>
      <c r="U43" s="15">
        <f>IFERROR(INDEX(納入全般清單,MATCH([@案類],案類名稱清單,0)),"否")</f>
        <v/>
      </c>
      <c r="V43" s="15">
        <f>IFERROR([@歸屬年度]*10000+IFERROR(MATCH([@案件狀況],{"尚未偵破","已破獲未移送","已移送","簽結"},0),0)*100+ROW(),0)</f>
        <v/>
      </c>
      <c r="W43" s="227" t="n"/>
      <c r="X43" s="15">
        <f>IFERROR(IF([@績效類別]="","是","否"),"是")</f>
        <v/>
      </c>
      <c r="Y43" s="227" t="n"/>
    </row>
    <row r="44" ht="30" customHeight="1">
      <c r="A44" s="227" t="n"/>
      <c r="B44" s="227" t="n"/>
      <c r="C44" s="227" t="n"/>
      <c r="D44" s="228" t="n"/>
      <c r="E44" s="227" t="n"/>
      <c r="F44" s="228" t="n"/>
      <c r="G44" s="227" t="n"/>
      <c r="H44" s="227" t="n"/>
      <c r="I44" s="227" t="n"/>
      <c r="J44" s="227" t="n"/>
      <c r="K44" s="227" t="n"/>
      <c r="L44" s="227" t="n"/>
      <c r="M44" s="227" t="n"/>
      <c r="N44" s="227" t="n"/>
      <c r="O44" s="229" t="n"/>
      <c r="P44" s="230" t="n"/>
      <c r="Q44" s="227" t="n"/>
      <c r="R44" s="15">
        <f>IFERROR(IF(OR([@案件狀況]="已破獲未移送",[@案件狀況]="已移送"),"是","否"),"")</f>
        <v/>
      </c>
      <c r="S44" s="15">
        <f>IFERROR(IF([@發生時間]="","",YEAR([@發生時間])-1911),"")</f>
        <v/>
      </c>
      <c r="T44" s="15">
        <f>IFERROR(INDEX(案類分類清單,MATCH([@案類],案類名稱清單,0)),"")</f>
        <v/>
      </c>
      <c r="U44" s="15">
        <f>IFERROR(INDEX(納入全般清單,MATCH([@案類],案類名稱清單,0)),"否")</f>
        <v/>
      </c>
      <c r="V44" s="15">
        <f>IFERROR([@歸屬年度]*10000+IFERROR(MATCH([@案件狀況],{"尚未偵破","已破獲未移送","已移送","簽結"},0),0)*100+ROW(),0)</f>
        <v/>
      </c>
      <c r="W44" s="227" t="n"/>
      <c r="X44" s="15">
        <f>IFERROR(IF([@績效類別]="","是","否"),"是")</f>
        <v/>
      </c>
      <c r="Y44" s="227" t="n"/>
    </row>
    <row r="45" ht="30" customHeight="1">
      <c r="A45" s="227" t="n"/>
      <c r="B45" s="227" t="n"/>
      <c r="C45" s="227" t="n"/>
      <c r="D45" s="228" t="n"/>
      <c r="E45" s="227" t="n"/>
      <c r="F45" s="228" t="n"/>
      <c r="G45" s="227" t="n"/>
      <c r="H45" s="227" t="n"/>
      <c r="I45" s="227" t="n"/>
      <c r="J45" s="227" t="n"/>
      <c r="K45" s="227" t="n"/>
      <c r="L45" s="227" t="n"/>
      <c r="M45" s="227" t="n"/>
      <c r="N45" s="227" t="n"/>
      <c r="O45" s="229" t="n"/>
      <c r="P45" s="230" t="n"/>
      <c r="Q45" s="227" t="n"/>
      <c r="R45" s="15">
        <f>IFERROR(IF(OR([@案件狀況]="已破獲未移送",[@案件狀況]="已移送"),"是","否"),"")</f>
        <v/>
      </c>
      <c r="S45" s="15">
        <f>IFERROR(IF([@發生時間]="","",YEAR([@發生時間])-1911),"")</f>
        <v/>
      </c>
      <c r="T45" s="15">
        <f>IFERROR(INDEX(案類分類清單,MATCH([@案類],案類名稱清單,0)),"")</f>
        <v/>
      </c>
      <c r="U45" s="15">
        <f>IFERROR(INDEX(納入全般清單,MATCH([@案類],案類名稱清單,0)),"否")</f>
        <v/>
      </c>
      <c r="V45" s="15">
        <f>IFERROR([@歸屬年度]*10000+IFERROR(MATCH([@案件狀況],{"尚未偵破","已破獲未移送","已移送","簽結"},0),0)*100+ROW(),0)</f>
        <v/>
      </c>
      <c r="W45" s="227" t="n"/>
      <c r="X45" s="15">
        <f>IFERROR(IF([@績效類別]="","是","否"),"是")</f>
        <v/>
      </c>
      <c r="Y45" s="227" t="n"/>
    </row>
    <row r="46" ht="30" customHeight="1">
      <c r="A46" s="227" t="n"/>
      <c r="B46" s="227" t="n"/>
      <c r="C46" s="227" t="n"/>
      <c r="D46" s="228" t="n"/>
      <c r="E46" s="227" t="n"/>
      <c r="F46" s="228" t="n"/>
      <c r="G46" s="227" t="n"/>
      <c r="H46" s="227" t="n"/>
      <c r="I46" s="227" t="n"/>
      <c r="J46" s="227" t="n"/>
      <c r="K46" s="227" t="n"/>
      <c r="L46" s="227" t="n"/>
      <c r="M46" s="227" t="n"/>
      <c r="N46" s="227" t="n"/>
      <c r="O46" s="229" t="n"/>
      <c r="P46" s="230" t="n"/>
      <c r="Q46" s="227" t="n"/>
      <c r="R46" s="15">
        <f>IFERROR(IF(OR([@案件狀況]="已破獲未移送",[@案件狀況]="已移送"),"是","否"),"")</f>
        <v/>
      </c>
      <c r="S46" s="15">
        <f>IFERROR(IF([@發生時間]="","",YEAR([@發生時間])-1911),"")</f>
        <v/>
      </c>
      <c r="T46" s="15">
        <f>IFERROR(INDEX(案類分類清單,MATCH([@案類],案類名稱清單,0)),"")</f>
        <v/>
      </c>
      <c r="U46" s="15">
        <f>IFERROR(INDEX(納入全般清單,MATCH([@案類],案類名稱清單,0)),"否")</f>
        <v/>
      </c>
      <c r="V46" s="15">
        <f>IFERROR([@歸屬年度]*10000+IFERROR(MATCH([@案件狀況],{"尚未偵破","已破獲未移送","已移送","簽結"},0),0)*100+ROW(),0)</f>
        <v/>
      </c>
      <c r="W46" s="227" t="n"/>
      <c r="X46" s="15">
        <f>IFERROR(IF([@績效類別]="","是","否"),"是")</f>
        <v/>
      </c>
      <c r="Y46" s="227" t="n"/>
    </row>
    <row r="47" ht="30" customHeight="1">
      <c r="A47" s="227" t="n"/>
      <c r="B47" s="227" t="n"/>
      <c r="C47" s="227" t="n"/>
      <c r="D47" s="228" t="n"/>
      <c r="E47" s="227" t="n"/>
      <c r="F47" s="228" t="n"/>
      <c r="G47" s="227" t="n"/>
      <c r="H47" s="227" t="n"/>
      <c r="I47" s="227" t="n"/>
      <c r="J47" s="227" t="n"/>
      <c r="K47" s="227" t="n"/>
      <c r="L47" s="227" t="n"/>
      <c r="M47" s="227" t="n"/>
      <c r="N47" s="227" t="n"/>
      <c r="O47" s="229" t="n"/>
      <c r="P47" s="230" t="n"/>
      <c r="Q47" s="227" t="n"/>
      <c r="R47" s="15">
        <f>IFERROR(IF(OR([@案件狀況]="已破獲未移送",[@案件狀況]="已移送"),"是","否"),"")</f>
        <v/>
      </c>
      <c r="S47" s="15">
        <f>IFERROR(IF([@發生時間]="","",YEAR([@發生時間])-1911),"")</f>
        <v/>
      </c>
      <c r="T47" s="15">
        <f>IFERROR(INDEX(案類分類清單,MATCH([@案類],案類名稱清單,0)),"")</f>
        <v/>
      </c>
      <c r="U47" s="15">
        <f>IFERROR(INDEX(納入全般清單,MATCH([@案類],案類名稱清單,0)),"否")</f>
        <v/>
      </c>
      <c r="V47" s="15">
        <f>IFERROR([@歸屬年度]*10000+IFERROR(MATCH([@案件狀況],{"尚未偵破","已破獲未移送","已移送","簽結"},0),0)*100+ROW(),0)</f>
        <v/>
      </c>
      <c r="W47" s="227" t="n"/>
      <c r="X47" s="15">
        <f>IFERROR(IF([@績效類別]="","是","否"),"是")</f>
        <v/>
      </c>
      <c r="Y47" s="227" t="n"/>
    </row>
    <row r="48" ht="30" customHeight="1">
      <c r="A48" s="227" t="n"/>
      <c r="B48" s="227" t="n"/>
      <c r="C48" s="227" t="n"/>
      <c r="D48" s="228" t="n"/>
      <c r="E48" s="227" t="n"/>
      <c r="F48" s="228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9" t="n"/>
      <c r="P48" s="230" t="n"/>
      <c r="Q48" s="227" t="n"/>
      <c r="R48" s="15">
        <f>IFERROR(IF(OR([@案件狀況]="已破獲未移送",[@案件狀況]="已移送"),"是","否"),"")</f>
        <v/>
      </c>
      <c r="S48" s="15">
        <f>IFERROR(IF([@發生時間]="","",YEAR([@發生時間])-1911),"")</f>
        <v/>
      </c>
      <c r="T48" s="15">
        <f>IFERROR(INDEX(案類分類清單,MATCH([@案類],案類名稱清單,0)),"")</f>
        <v/>
      </c>
      <c r="U48" s="15">
        <f>IFERROR(INDEX(納入全般清單,MATCH([@案類],案類名稱清單,0)),"否")</f>
        <v/>
      </c>
      <c r="V48" s="15">
        <f>IFERROR([@歸屬年度]*10000+IFERROR(MATCH([@案件狀況],{"尚未偵破","已破獲未移送","已移送","簽結"},0),0)*100+ROW(),0)</f>
        <v/>
      </c>
      <c r="W48" s="227" t="n"/>
      <c r="X48" s="15">
        <f>IFERROR(IF([@績效類別]="","是","否"),"是")</f>
        <v/>
      </c>
      <c r="Y48" s="227" t="n"/>
    </row>
    <row r="49" ht="30" customHeight="1">
      <c r="A49" s="227" t="n"/>
      <c r="B49" s="227" t="n"/>
      <c r="C49" s="227" t="n"/>
      <c r="D49" s="228" t="n"/>
      <c r="E49" s="227" t="n"/>
      <c r="F49" s="228" t="n"/>
      <c r="G49" s="227" t="n"/>
      <c r="H49" s="227" t="n"/>
      <c r="I49" s="227" t="n"/>
      <c r="J49" s="227" t="n"/>
      <c r="K49" s="227" t="n"/>
      <c r="L49" s="227" t="n"/>
      <c r="M49" s="227" t="n"/>
      <c r="N49" s="227" t="n"/>
      <c r="O49" s="229" t="n"/>
      <c r="P49" s="230" t="n"/>
      <c r="Q49" s="227" t="n"/>
      <c r="R49" s="15">
        <f>IFERROR(IF(OR([@案件狀況]="已破獲未移送",[@案件狀況]="已移送"),"是","否"),"")</f>
        <v/>
      </c>
      <c r="S49" s="15">
        <f>IFERROR(IF([@發生時間]="","",YEAR([@發生時間])-1911),"")</f>
        <v/>
      </c>
      <c r="T49" s="15">
        <f>IFERROR(INDEX(案類分類清單,MATCH([@案類],案類名稱清單,0)),"")</f>
        <v/>
      </c>
      <c r="U49" s="15">
        <f>IFERROR(INDEX(納入全般清單,MATCH([@案類],案類名稱清單,0)),"否")</f>
        <v/>
      </c>
      <c r="V49" s="15">
        <f>IFERROR([@歸屬年度]*10000+IFERROR(MATCH([@案件狀況],{"尚未偵破","已破獲未移送","已移送","簽結"},0),0)*100+ROW(),0)</f>
        <v/>
      </c>
      <c r="W49" s="227" t="n"/>
      <c r="X49" s="15">
        <f>IFERROR(IF([@績效類別]="","是","否"),"是")</f>
        <v/>
      </c>
      <c r="Y49" s="227" t="n"/>
    </row>
    <row r="50" ht="30" customHeight="1">
      <c r="A50" s="227" t="n"/>
      <c r="B50" s="227" t="n"/>
      <c r="C50" s="227" t="n"/>
      <c r="D50" s="228" t="n"/>
      <c r="E50" s="227" t="n"/>
      <c r="F50" s="228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9" t="n"/>
      <c r="P50" s="230" t="n"/>
      <c r="Q50" s="227" t="n"/>
      <c r="R50" s="15">
        <f>IFERROR(IF(OR([@案件狀況]="已破獲未移送",[@案件狀況]="已移送"),"是","否"),"")</f>
        <v/>
      </c>
      <c r="S50" s="15">
        <f>IFERROR(IF([@發生時間]="","",YEAR([@發生時間])-1911),"")</f>
        <v/>
      </c>
      <c r="T50" s="15">
        <f>IFERROR(INDEX(案類分類清單,MATCH([@案類],案類名稱清單,0)),"")</f>
        <v/>
      </c>
      <c r="U50" s="15">
        <f>IFERROR(INDEX(納入全般清單,MATCH([@案類],案類名稱清單,0)),"否")</f>
        <v/>
      </c>
      <c r="V50" s="15">
        <f>IFERROR([@歸屬年度]*10000+IFERROR(MATCH([@案件狀況],{"尚未偵破","已破獲未移送","已移送","簽結"},0),0)*100+ROW(),0)</f>
        <v/>
      </c>
      <c r="W50" s="227" t="n"/>
      <c r="X50" s="15">
        <f>IFERROR(IF([@績效類別]="","是","否"),"是")</f>
        <v/>
      </c>
      <c r="Y50" s="227" t="n"/>
    </row>
    <row r="51" ht="30" customHeight="1">
      <c r="A51" s="227" t="n"/>
      <c r="B51" s="227" t="n"/>
      <c r="C51" s="227" t="n"/>
      <c r="D51" s="228" t="n"/>
      <c r="E51" s="227" t="n"/>
      <c r="F51" s="228" t="n"/>
      <c r="G51" s="227" t="n"/>
      <c r="H51" s="227" t="n"/>
      <c r="I51" s="227" t="n"/>
      <c r="J51" s="227" t="n"/>
      <c r="K51" s="227" t="n"/>
      <c r="L51" s="227" t="n"/>
      <c r="M51" s="227" t="n"/>
      <c r="N51" s="227" t="n"/>
      <c r="O51" s="229" t="n"/>
      <c r="P51" s="230" t="n"/>
      <c r="Q51" s="227" t="n"/>
      <c r="R51" s="15">
        <f>IFERROR(IF(OR([@案件狀況]="已破獲未移送",[@案件狀況]="已移送"),"是","否"),"")</f>
        <v/>
      </c>
      <c r="S51" s="15">
        <f>IFERROR(IF([@發生時間]="","",YEAR([@發生時間])-1911),"")</f>
        <v/>
      </c>
      <c r="T51" s="15">
        <f>IFERROR(INDEX(案類分類清單,MATCH([@案類],案類名稱清單,0)),"")</f>
        <v/>
      </c>
      <c r="U51" s="15">
        <f>IFERROR(INDEX(納入全般清單,MATCH([@案類],案類名稱清單,0)),"否")</f>
        <v/>
      </c>
      <c r="V51" s="15">
        <f>IFERROR([@歸屬年度]*10000+IFERROR(MATCH([@案件狀況],{"尚未偵破","已破獲未移送","已移送","簽結"},0),0)*100+ROW(),0)</f>
        <v/>
      </c>
      <c r="W51" s="227" t="n"/>
      <c r="X51" s="15">
        <f>IFERROR(IF([@績效類別]="","是","否"),"是")</f>
        <v/>
      </c>
      <c r="Y51" s="227" t="n"/>
    </row>
    <row r="52" ht="30" customHeight="1">
      <c r="A52" s="227" t="n"/>
      <c r="B52" s="227" t="n"/>
      <c r="C52" s="227" t="n"/>
      <c r="D52" s="228" t="n"/>
      <c r="E52" s="227" t="n"/>
      <c r="F52" s="228" t="n"/>
      <c r="G52" s="227" t="n"/>
      <c r="H52" s="227" t="n"/>
      <c r="I52" s="227" t="n"/>
      <c r="J52" s="227" t="n"/>
      <c r="K52" s="227" t="n"/>
      <c r="L52" s="227" t="n"/>
      <c r="M52" s="227" t="n"/>
      <c r="N52" s="227" t="n"/>
      <c r="O52" s="229" t="n"/>
      <c r="P52" s="230" t="n"/>
      <c r="Q52" s="227" t="n"/>
      <c r="R52" s="15">
        <f>IFERROR(IF(OR([@案件狀況]="已破獲未移送",[@案件狀況]="已移送"),"是","否"),"")</f>
        <v/>
      </c>
      <c r="S52" s="15">
        <f>IFERROR(IF([@發生時間]="","",YEAR([@發生時間])-1911),"")</f>
        <v/>
      </c>
      <c r="T52" s="15">
        <f>IFERROR(INDEX(案類分類清單,MATCH([@案類],案類名稱清單,0)),"")</f>
        <v/>
      </c>
      <c r="U52" s="15">
        <f>IFERROR(INDEX(納入全般清單,MATCH([@案類],案類名稱清單,0)),"否")</f>
        <v/>
      </c>
      <c r="V52" s="15">
        <f>IFERROR([@歸屬年度]*10000+IFERROR(MATCH([@案件狀況],{"尚未偵破","已破獲未移送","已移送","簽結"},0),0)*100+ROW(),0)</f>
        <v/>
      </c>
      <c r="W52" s="227" t="n"/>
      <c r="X52" s="15">
        <f>IFERROR(IF([@績效類別]="","是","否"),"是")</f>
        <v/>
      </c>
      <c r="Y52" s="227" t="n"/>
    </row>
    <row r="53" ht="30" customHeight="1">
      <c r="A53" s="227" t="n"/>
      <c r="B53" s="227" t="n"/>
      <c r="C53" s="227" t="n"/>
      <c r="D53" s="228" t="n"/>
      <c r="E53" s="227" t="n"/>
      <c r="F53" s="228" t="n"/>
      <c r="G53" s="227" t="n"/>
      <c r="H53" s="227" t="n"/>
      <c r="I53" s="227" t="n"/>
      <c r="J53" s="227" t="n"/>
      <c r="K53" s="227" t="n"/>
      <c r="L53" s="227" t="n"/>
      <c r="M53" s="227" t="n"/>
      <c r="N53" s="227" t="n"/>
      <c r="O53" s="229" t="n"/>
      <c r="P53" s="230" t="n"/>
      <c r="Q53" s="227" t="n"/>
      <c r="R53" s="15">
        <f>IFERROR(IF(OR([@案件狀況]="已破獲未移送",[@案件狀況]="已移送"),"是","否"),"")</f>
        <v/>
      </c>
      <c r="S53" s="15">
        <f>IFERROR(IF([@發生時間]="","",YEAR([@發生時間])-1911),"")</f>
        <v/>
      </c>
      <c r="T53" s="15">
        <f>IFERROR(INDEX(案類分類清單,MATCH([@案類],案類名稱清單,0)),"")</f>
        <v/>
      </c>
      <c r="U53" s="15">
        <f>IFERROR(INDEX(納入全般清單,MATCH([@案類],案類名稱清單,0)),"否")</f>
        <v/>
      </c>
      <c r="V53" s="15">
        <f>IFERROR([@歸屬年度]*10000+IFERROR(MATCH([@案件狀況],{"尚未偵破","已破獲未移送","已移送","簽結"},0),0)*100+ROW(),0)</f>
        <v/>
      </c>
      <c r="W53" s="227" t="n"/>
      <c r="X53" s="15">
        <f>IFERROR(IF([@績效類別]="","是","否"),"是")</f>
        <v/>
      </c>
      <c r="Y53" s="227" t="n"/>
    </row>
    <row r="54" ht="30" customHeight="1">
      <c r="A54" s="227" t="n"/>
      <c r="B54" s="227" t="n"/>
      <c r="C54" s="227" t="n"/>
      <c r="D54" s="228" t="n"/>
      <c r="E54" s="227" t="n"/>
      <c r="F54" s="228" t="n"/>
      <c r="G54" s="227" t="n"/>
      <c r="H54" s="227" t="n"/>
      <c r="I54" s="227" t="n"/>
      <c r="J54" s="227" t="n"/>
      <c r="K54" s="227" t="n"/>
      <c r="L54" s="227" t="n"/>
      <c r="M54" s="227" t="n"/>
      <c r="N54" s="227" t="n"/>
      <c r="O54" s="229" t="n"/>
      <c r="P54" s="230" t="n"/>
      <c r="Q54" s="227" t="n"/>
      <c r="R54" s="15">
        <f>IFERROR(IF(OR([@案件狀況]="已破獲未移送",[@案件狀況]="已移送"),"是","否"),"")</f>
        <v/>
      </c>
      <c r="S54" s="15">
        <f>IFERROR(IF([@發生時間]="","",YEAR([@發生時間])-1911),"")</f>
        <v/>
      </c>
      <c r="T54" s="15">
        <f>IFERROR(INDEX(案類分類清單,MATCH([@案類],案類名稱清單,0)),"")</f>
        <v/>
      </c>
      <c r="U54" s="15">
        <f>IFERROR(INDEX(納入全般清單,MATCH([@案類],案類名稱清單,0)),"否")</f>
        <v/>
      </c>
      <c r="V54" s="15">
        <f>IFERROR([@歸屬年度]*10000+IFERROR(MATCH([@案件狀況],{"尚未偵破","已破獲未移送","已移送","簽結"},0),0)*100+ROW(),0)</f>
        <v/>
      </c>
      <c r="W54" s="227" t="n"/>
      <c r="X54" s="15">
        <f>IFERROR(IF([@績效類別]="","是","否"),"是")</f>
        <v/>
      </c>
      <c r="Y54" s="227" t="n"/>
    </row>
    <row r="55" ht="30" customHeight="1">
      <c r="A55" s="227" t="n"/>
      <c r="B55" s="227" t="n"/>
      <c r="C55" s="227" t="n"/>
      <c r="D55" s="228" t="n"/>
      <c r="E55" s="227" t="n"/>
      <c r="F55" s="228" t="n"/>
      <c r="G55" s="227" t="n"/>
      <c r="H55" s="227" t="n"/>
      <c r="I55" s="227" t="n"/>
      <c r="J55" s="227" t="n"/>
      <c r="K55" s="227" t="n"/>
      <c r="L55" s="227" t="n"/>
      <c r="M55" s="227" t="n"/>
      <c r="N55" s="227" t="n"/>
      <c r="O55" s="229" t="n"/>
      <c r="P55" s="230" t="n"/>
      <c r="Q55" s="227" t="n"/>
      <c r="R55" s="15">
        <f>IFERROR(IF(OR([@案件狀況]="已破獲未移送",[@案件狀況]="已移送"),"是","否"),"")</f>
        <v/>
      </c>
      <c r="S55" s="15">
        <f>IFERROR(IF([@發生時間]="","",YEAR([@發生時間])-1911),"")</f>
        <v/>
      </c>
      <c r="T55" s="15">
        <f>IFERROR(INDEX(案類分類清單,MATCH([@案類],案類名稱清單,0)),"")</f>
        <v/>
      </c>
      <c r="U55" s="15">
        <f>IFERROR(INDEX(納入全般清單,MATCH([@案類],案類名稱清單,0)),"否")</f>
        <v/>
      </c>
      <c r="V55" s="15">
        <f>IFERROR([@歸屬年度]*10000+IFERROR(MATCH([@案件狀況],{"尚未偵破","已破獲未移送","已移送","簽結"},0),0)*100+ROW(),0)</f>
        <v/>
      </c>
      <c r="W55" s="227" t="n"/>
      <c r="X55" s="15">
        <f>IFERROR(IF([@績效類別]="","是","否"),"是")</f>
        <v/>
      </c>
      <c r="Y55" s="227" t="n"/>
    </row>
    <row r="56" ht="30" customHeight="1">
      <c r="A56" s="227" t="n"/>
      <c r="B56" s="227" t="n"/>
      <c r="C56" s="227" t="n"/>
      <c r="D56" s="228" t="n"/>
      <c r="E56" s="227" t="n"/>
      <c r="F56" s="228" t="n"/>
      <c r="G56" s="227" t="n"/>
      <c r="H56" s="227" t="n"/>
      <c r="I56" s="227" t="n"/>
      <c r="J56" s="227" t="n"/>
      <c r="K56" s="227" t="n"/>
      <c r="L56" s="227" t="n"/>
      <c r="M56" s="227" t="n"/>
      <c r="N56" s="227" t="n"/>
      <c r="O56" s="229" t="n"/>
      <c r="P56" s="230" t="n"/>
      <c r="Q56" s="227" t="n"/>
      <c r="R56" s="15">
        <f>IFERROR(IF(OR([@案件狀況]="已破獲未移送",[@案件狀況]="已移送"),"是","否"),"")</f>
        <v/>
      </c>
      <c r="S56" s="15">
        <f>IFERROR(IF([@發生時間]="","",YEAR([@發生時間])-1911),"")</f>
        <v/>
      </c>
      <c r="T56" s="15">
        <f>IFERROR(INDEX(案類分類清單,MATCH([@案類],案類名稱清單,0)),"")</f>
        <v/>
      </c>
      <c r="U56" s="15">
        <f>IFERROR(INDEX(納入全般清單,MATCH([@案類],案類名稱清單,0)),"否")</f>
        <v/>
      </c>
      <c r="V56" s="15">
        <f>IFERROR([@歸屬年度]*10000+IFERROR(MATCH([@案件狀況],{"尚未偵破","已破獲未移送","已移送","簽結"},0),0)*100+ROW(),0)</f>
        <v/>
      </c>
      <c r="W56" s="227" t="n"/>
      <c r="X56" s="15">
        <f>IFERROR(IF([@績效類別]="","是","否"),"是")</f>
        <v/>
      </c>
      <c r="Y56" s="227" t="n"/>
    </row>
    <row r="57" ht="30" customHeight="1">
      <c r="A57" s="227" t="n"/>
      <c r="B57" s="227" t="n"/>
      <c r="C57" s="227" t="n"/>
      <c r="D57" s="228" t="n"/>
      <c r="E57" s="227" t="n"/>
      <c r="F57" s="228" t="n"/>
      <c r="G57" s="227" t="n"/>
      <c r="H57" s="227" t="n"/>
      <c r="I57" s="227" t="n"/>
      <c r="J57" s="227" t="n"/>
      <c r="K57" s="227" t="n"/>
      <c r="L57" s="227" t="n"/>
      <c r="M57" s="227" t="n"/>
      <c r="N57" s="227" t="n"/>
      <c r="O57" s="229" t="n"/>
      <c r="P57" s="230" t="n"/>
      <c r="Q57" s="227" t="n"/>
      <c r="R57" s="15">
        <f>IFERROR(IF(OR([@案件狀況]="已破獲未移送",[@案件狀況]="已移送"),"是","否"),"")</f>
        <v/>
      </c>
      <c r="S57" s="15">
        <f>IFERROR(IF([@發生時間]="","",YEAR([@發生時間])-1911),"")</f>
        <v/>
      </c>
      <c r="T57" s="15">
        <f>IFERROR(INDEX(案類分類清單,MATCH([@案類],案類名稱清單,0)),"")</f>
        <v/>
      </c>
      <c r="U57" s="15">
        <f>IFERROR(INDEX(納入全般清單,MATCH([@案類],案類名稱清單,0)),"否")</f>
        <v/>
      </c>
      <c r="V57" s="15">
        <f>IFERROR([@歸屬年度]*10000+IFERROR(MATCH([@案件狀況],{"尚未偵破","已破獲未移送","已移送","簽結"},0),0)*100+ROW(),0)</f>
        <v/>
      </c>
      <c r="W57" s="227" t="n"/>
      <c r="X57" s="15">
        <f>IFERROR(IF([@績效類別]="","是","否"),"是")</f>
        <v/>
      </c>
      <c r="Y57" s="227" t="n"/>
    </row>
    <row r="58" ht="30" customHeight="1">
      <c r="A58" s="227" t="n"/>
      <c r="B58" s="227" t="n"/>
      <c r="C58" s="227" t="n"/>
      <c r="D58" s="228" t="n"/>
      <c r="E58" s="227" t="n"/>
      <c r="F58" s="228" t="n"/>
      <c r="G58" s="227" t="n"/>
      <c r="H58" s="227" t="n"/>
      <c r="I58" s="227" t="n"/>
      <c r="J58" s="227" t="n"/>
      <c r="K58" s="227" t="n"/>
      <c r="L58" s="227" t="n"/>
      <c r="M58" s="227" t="n"/>
      <c r="N58" s="227" t="n"/>
      <c r="O58" s="229" t="n"/>
      <c r="P58" s="230" t="n"/>
      <c r="Q58" s="227" t="n"/>
      <c r="R58" s="15">
        <f>IFERROR(IF(OR([@案件狀況]="已破獲未移送",[@案件狀況]="已移送"),"是","否"),"")</f>
        <v/>
      </c>
      <c r="S58" s="15">
        <f>IFERROR(IF([@發生時間]="","",YEAR([@發生時間])-1911),"")</f>
        <v/>
      </c>
      <c r="T58" s="15">
        <f>IFERROR(INDEX(案類分類清單,MATCH([@案類],案類名稱清單,0)),"")</f>
        <v/>
      </c>
      <c r="U58" s="15">
        <f>IFERROR(INDEX(納入全般清單,MATCH([@案類],案類名稱清單,0)),"否")</f>
        <v/>
      </c>
      <c r="V58" s="15">
        <f>IFERROR([@歸屬年度]*10000+IFERROR(MATCH([@案件狀況],{"尚未偵破","已破獲未移送","已移送","簽結"},0),0)*100+ROW(),0)</f>
        <v/>
      </c>
      <c r="W58" s="227" t="n"/>
      <c r="X58" s="15">
        <f>IFERROR(IF([@績效類別]="","是","否"),"是")</f>
        <v/>
      </c>
      <c r="Y58" s="227" t="n"/>
    </row>
    <row r="59" ht="30" customHeight="1">
      <c r="A59" s="227" t="n"/>
      <c r="B59" s="227" t="n"/>
      <c r="C59" s="227" t="n"/>
      <c r="D59" s="228" t="n"/>
      <c r="E59" s="227" t="n"/>
      <c r="F59" s="228" t="n"/>
      <c r="G59" s="227" t="n"/>
      <c r="H59" s="227" t="n"/>
      <c r="I59" s="227" t="n"/>
      <c r="J59" s="227" t="n"/>
      <c r="K59" s="227" t="n"/>
      <c r="L59" s="227" t="n"/>
      <c r="M59" s="227" t="n"/>
      <c r="N59" s="227" t="n"/>
      <c r="O59" s="229" t="n"/>
      <c r="P59" s="230" t="n"/>
      <c r="Q59" s="227" t="n"/>
      <c r="R59" s="15">
        <f>IFERROR(IF(OR([@案件狀況]="已破獲未移送",[@案件狀況]="已移送"),"是","否"),"")</f>
        <v/>
      </c>
      <c r="S59" s="15">
        <f>IFERROR(IF([@發生時間]="","",YEAR([@發生時間])-1911),"")</f>
        <v/>
      </c>
      <c r="T59" s="15">
        <f>IFERROR(INDEX(案類分類清單,MATCH([@案類],案類名稱清單,0)),"")</f>
        <v/>
      </c>
      <c r="U59" s="15">
        <f>IFERROR(INDEX(納入全般清單,MATCH([@案類],案類名稱清單,0)),"否")</f>
        <v/>
      </c>
      <c r="V59" s="15">
        <f>IFERROR([@歸屬年度]*10000+IFERROR(MATCH([@案件狀況],{"尚未偵破","已破獲未移送","已移送","簽結"},0),0)*100+ROW(),0)</f>
        <v/>
      </c>
      <c r="W59" s="227" t="n"/>
      <c r="X59" s="15">
        <f>IFERROR(IF([@績效類別]="","是","否"),"是")</f>
        <v/>
      </c>
      <c r="Y59" s="227" t="n"/>
    </row>
    <row r="60" ht="30" customHeight="1">
      <c r="A60" s="227" t="n"/>
      <c r="B60" s="227" t="n"/>
      <c r="C60" s="227" t="n"/>
      <c r="D60" s="228" t="n"/>
      <c r="E60" s="227" t="n"/>
      <c r="F60" s="228" t="n"/>
      <c r="G60" s="227" t="n"/>
      <c r="H60" s="227" t="n"/>
      <c r="I60" s="227" t="n"/>
      <c r="J60" s="227" t="n"/>
      <c r="K60" s="227" t="n"/>
      <c r="L60" s="227" t="n"/>
      <c r="M60" s="227" t="n"/>
      <c r="N60" s="227" t="n"/>
      <c r="O60" s="229" t="n"/>
      <c r="P60" s="230" t="n"/>
      <c r="Q60" s="227" t="n"/>
      <c r="R60" s="15">
        <f>IFERROR(IF(OR([@案件狀況]="已破獲未移送",[@案件狀況]="已移送"),"是","否"),"")</f>
        <v/>
      </c>
      <c r="S60" s="15">
        <f>IFERROR(IF([@發生時間]="","",YEAR([@發生時間])-1911),"")</f>
        <v/>
      </c>
      <c r="T60" s="15">
        <f>IFERROR(INDEX(案類分類清單,MATCH([@案類],案類名稱清單,0)),"")</f>
        <v/>
      </c>
      <c r="U60" s="15">
        <f>IFERROR(INDEX(納入全般清單,MATCH([@案類],案類名稱清單,0)),"否")</f>
        <v/>
      </c>
      <c r="V60" s="15">
        <f>IFERROR([@歸屬年度]*10000+IFERROR(MATCH([@案件狀況],{"尚未偵破","已破獲未移送","已移送","簽結"},0),0)*100+ROW(),0)</f>
        <v/>
      </c>
      <c r="W60" s="227" t="n"/>
      <c r="X60" s="15">
        <f>IFERROR(IF([@績效類別]="","是","否"),"是")</f>
        <v/>
      </c>
      <c r="Y60" s="227" t="n"/>
    </row>
    <row r="61" ht="30" customHeight="1">
      <c r="A61" s="227" t="n"/>
      <c r="B61" s="227" t="n"/>
      <c r="C61" s="227" t="n"/>
      <c r="D61" s="228" t="n"/>
      <c r="E61" s="227" t="n"/>
      <c r="F61" s="228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9" t="n"/>
      <c r="P61" s="230" t="n"/>
      <c r="Q61" s="227" t="n"/>
      <c r="R61" s="15">
        <f>IFERROR(IF(OR([@案件狀況]="已破獲未移送",[@案件狀況]="已移送"),"是","否"),"")</f>
        <v/>
      </c>
      <c r="S61" s="15">
        <f>IFERROR(IF([@發生時間]="","",YEAR([@發生時間])-1911),"")</f>
        <v/>
      </c>
      <c r="T61" s="15">
        <f>IFERROR(INDEX(案類分類清單,MATCH([@案類],案類名稱清單,0)),"")</f>
        <v/>
      </c>
      <c r="U61" s="15">
        <f>IFERROR(INDEX(納入全般清單,MATCH([@案類],案類名稱清單,0)),"否")</f>
        <v/>
      </c>
      <c r="V61" s="15">
        <f>IFERROR([@歸屬年度]*10000+IFERROR(MATCH([@案件狀況],{"尚未偵破","已破獲未移送","已移送","簽結"},0),0)*100+ROW(),0)</f>
        <v/>
      </c>
      <c r="W61" s="227" t="n"/>
      <c r="X61" s="15">
        <f>IFERROR(IF([@績效類別]="","是","否"),"是")</f>
        <v/>
      </c>
      <c r="Y61" s="227" t="n"/>
    </row>
    <row r="62" ht="30" customHeight="1">
      <c r="A62" s="227" t="n"/>
      <c r="B62" s="227" t="n"/>
      <c r="C62" s="227" t="n"/>
      <c r="D62" s="228" t="n"/>
      <c r="E62" s="227" t="n"/>
      <c r="F62" s="228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9" t="n"/>
      <c r="P62" s="230" t="n"/>
      <c r="Q62" s="227" t="n"/>
      <c r="R62" s="15">
        <f>IFERROR(IF(OR([@案件狀況]="已破獲未移送",[@案件狀況]="已移送"),"是","否"),"")</f>
        <v/>
      </c>
      <c r="S62" s="15">
        <f>IFERROR(IF([@發生時間]="","",YEAR([@發生時間])-1911),"")</f>
        <v/>
      </c>
      <c r="T62" s="15">
        <f>IFERROR(INDEX(案類分類清單,MATCH([@案類],案類名稱清單,0)),"")</f>
        <v/>
      </c>
      <c r="U62" s="15">
        <f>IFERROR(INDEX(納入全般清單,MATCH([@案類],案類名稱清單,0)),"否")</f>
        <v/>
      </c>
      <c r="V62" s="15">
        <f>IFERROR([@歸屬年度]*10000+IFERROR(MATCH([@案件狀況],{"尚未偵破","已破獲未移送","已移送","簽結"},0),0)*100+ROW(),0)</f>
        <v/>
      </c>
      <c r="W62" s="227" t="n"/>
      <c r="X62" s="15">
        <f>IFERROR(IF([@績效類別]="","是","否"),"是")</f>
        <v/>
      </c>
      <c r="Y62" s="227" t="n"/>
    </row>
    <row r="63" ht="30" customHeight="1">
      <c r="A63" s="227" t="n"/>
      <c r="B63" s="227" t="n"/>
      <c r="C63" s="227" t="n"/>
      <c r="D63" s="228" t="n"/>
      <c r="E63" s="227" t="n"/>
      <c r="F63" s="228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9" t="n"/>
      <c r="P63" s="230" t="n"/>
      <c r="Q63" s="227" t="n"/>
      <c r="R63" s="15">
        <f>IFERROR(IF(OR([@案件狀況]="已破獲未移送",[@案件狀況]="已移送"),"是","否"),"")</f>
        <v/>
      </c>
      <c r="S63" s="15">
        <f>IFERROR(IF([@發生時間]="","",YEAR([@發生時間])-1911),"")</f>
        <v/>
      </c>
      <c r="T63" s="15">
        <f>IFERROR(INDEX(案類分類清單,MATCH([@案類],案類名稱清單,0)),"")</f>
        <v/>
      </c>
      <c r="U63" s="15">
        <f>IFERROR(INDEX(納入全般清單,MATCH([@案類],案類名稱清單,0)),"否")</f>
        <v/>
      </c>
      <c r="V63" s="15">
        <f>IFERROR([@歸屬年度]*10000+IFERROR(MATCH([@案件狀況],{"尚未偵破","已破獲未移送","已移送","簽結"},0),0)*100+ROW(),0)</f>
        <v/>
      </c>
      <c r="W63" s="227" t="n"/>
      <c r="X63" s="15">
        <f>IFERROR(IF([@績效類別]="","是","否"),"是")</f>
        <v/>
      </c>
      <c r="Y63" s="227" t="n"/>
    </row>
    <row r="64" ht="30" customHeight="1">
      <c r="A64" s="227" t="n"/>
      <c r="B64" s="227" t="n"/>
      <c r="C64" s="227" t="n"/>
      <c r="D64" s="228" t="n"/>
      <c r="E64" s="227" t="n"/>
      <c r="F64" s="228" t="n"/>
      <c r="G64" s="227" t="n"/>
      <c r="H64" s="227" t="n"/>
      <c r="I64" s="227" t="n"/>
      <c r="J64" s="227" t="n"/>
      <c r="K64" s="227" t="n"/>
      <c r="L64" s="227" t="n"/>
      <c r="M64" s="227" t="n"/>
      <c r="N64" s="227" t="n"/>
      <c r="O64" s="229" t="n"/>
      <c r="P64" s="230" t="n"/>
      <c r="Q64" s="227" t="n"/>
      <c r="R64" s="15">
        <f>IFERROR(IF(OR([@案件狀況]="已破獲未移送",[@案件狀況]="已移送"),"是","否"),"")</f>
        <v/>
      </c>
      <c r="S64" s="15">
        <f>IFERROR(IF([@發生時間]="","",YEAR([@發生時間])-1911),"")</f>
        <v/>
      </c>
      <c r="T64" s="15">
        <f>IFERROR(INDEX(案類分類清單,MATCH([@案類],案類名稱清單,0)),"")</f>
        <v/>
      </c>
      <c r="U64" s="15">
        <f>IFERROR(INDEX(納入全般清單,MATCH([@案類],案類名稱清單,0)),"否")</f>
        <v/>
      </c>
      <c r="V64" s="15">
        <f>IFERROR([@歸屬年度]*10000+IFERROR(MATCH([@案件狀況],{"尚未偵破","已破獲未移送","已移送","簽結"},0),0)*100+ROW(),0)</f>
        <v/>
      </c>
      <c r="W64" s="227" t="n"/>
      <c r="X64" s="15">
        <f>IFERROR(IF([@績效類別]="","是","否"),"是")</f>
        <v/>
      </c>
      <c r="Y64" s="227" t="n"/>
    </row>
    <row r="65" ht="30" customHeight="1">
      <c r="A65" s="227" t="n"/>
      <c r="B65" s="227" t="n"/>
      <c r="C65" s="227" t="n"/>
      <c r="D65" s="228" t="n"/>
      <c r="E65" s="227" t="n"/>
      <c r="F65" s="228" t="n"/>
      <c r="G65" s="227" t="n"/>
      <c r="H65" s="227" t="n"/>
      <c r="I65" s="227" t="n"/>
      <c r="J65" s="227" t="n"/>
      <c r="K65" s="227" t="n"/>
      <c r="L65" s="227" t="n"/>
      <c r="M65" s="227" t="n"/>
      <c r="N65" s="227" t="n"/>
      <c r="O65" s="229" t="n"/>
      <c r="P65" s="230" t="n"/>
      <c r="Q65" s="227" t="n"/>
      <c r="R65" s="15">
        <f>IFERROR(IF(OR([@案件狀況]="已破獲未移送",[@案件狀況]="已移送"),"是","否"),"")</f>
        <v/>
      </c>
      <c r="S65" s="15">
        <f>IFERROR(IF([@發生時間]="","",YEAR([@發生時間])-1911),"")</f>
        <v/>
      </c>
      <c r="T65" s="15">
        <f>IFERROR(INDEX(案類分類清單,MATCH([@案類],案類名稱清單,0)),"")</f>
        <v/>
      </c>
      <c r="U65" s="15">
        <f>IFERROR(INDEX(納入全般清單,MATCH([@案類],案類名稱清單,0)),"否")</f>
        <v/>
      </c>
      <c r="V65" s="15">
        <f>IFERROR([@歸屬年度]*10000+IFERROR(MATCH([@案件狀況],{"尚未偵破","已破獲未移送","已移送","簽結"},0),0)*100+ROW(),0)</f>
        <v/>
      </c>
      <c r="W65" s="227" t="n"/>
      <c r="X65" s="15">
        <f>IFERROR(IF([@績效類別]="","是","否"),"是")</f>
        <v/>
      </c>
      <c r="Y65" s="227" t="n"/>
    </row>
    <row r="66" ht="30" customHeight="1">
      <c r="A66" s="227" t="n"/>
      <c r="B66" s="227" t="n"/>
      <c r="C66" s="227" t="n"/>
      <c r="D66" s="228" t="n"/>
      <c r="E66" s="227" t="n"/>
      <c r="F66" s="228" t="n"/>
      <c r="G66" s="227" t="n"/>
      <c r="H66" s="227" t="n"/>
      <c r="I66" s="227" t="n"/>
      <c r="J66" s="227" t="n"/>
      <c r="K66" s="227" t="n"/>
      <c r="L66" s="227" t="n"/>
      <c r="M66" s="227" t="n"/>
      <c r="N66" s="227" t="n"/>
      <c r="O66" s="229" t="n"/>
      <c r="P66" s="230" t="n"/>
      <c r="Q66" s="227" t="n"/>
      <c r="R66" s="15">
        <f>IFERROR(IF(OR([@案件狀況]="已破獲未移送",[@案件狀況]="已移送"),"是","否"),"")</f>
        <v/>
      </c>
      <c r="S66" s="15">
        <f>IFERROR(IF([@發生時間]="","",YEAR([@發生時間])-1911),"")</f>
        <v/>
      </c>
      <c r="T66" s="15">
        <f>IFERROR(INDEX(案類分類清單,MATCH([@案類],案類名稱清單,0)),"")</f>
        <v/>
      </c>
      <c r="U66" s="15">
        <f>IFERROR(INDEX(納入全般清單,MATCH([@案類],案類名稱清單,0)),"否")</f>
        <v/>
      </c>
      <c r="V66" s="15">
        <f>IFERROR([@歸屬年度]*10000+IFERROR(MATCH([@案件狀況],{"尚未偵破","已破獲未移送","已移送","簽結"},0),0)*100+ROW(),0)</f>
        <v/>
      </c>
      <c r="W66" s="227" t="n"/>
      <c r="X66" s="15">
        <f>IFERROR(IF([@績效類別]="","是","否"),"是")</f>
        <v/>
      </c>
      <c r="Y66" s="227" t="n"/>
    </row>
    <row r="67" ht="30" customHeight="1">
      <c r="A67" s="227" t="n"/>
      <c r="B67" s="227" t="n"/>
      <c r="C67" s="227" t="n"/>
      <c r="D67" s="228" t="n"/>
      <c r="E67" s="227" t="n"/>
      <c r="F67" s="228" t="n"/>
      <c r="G67" s="227" t="n"/>
      <c r="H67" s="227" t="n"/>
      <c r="I67" s="227" t="n"/>
      <c r="J67" s="227" t="n"/>
      <c r="K67" s="227" t="n"/>
      <c r="L67" s="227" t="n"/>
      <c r="M67" s="227" t="n"/>
      <c r="N67" s="227" t="n"/>
      <c r="O67" s="229" t="n"/>
      <c r="P67" s="230" t="n"/>
      <c r="Q67" s="227" t="n"/>
      <c r="R67" s="15">
        <f>IFERROR(IF(OR([@案件狀況]="已破獲未移送",[@案件狀況]="已移送"),"是","否"),"")</f>
        <v/>
      </c>
      <c r="S67" s="15">
        <f>IFERROR(IF([@發生時間]="","",YEAR([@發生時間])-1911),"")</f>
        <v/>
      </c>
      <c r="T67" s="15">
        <f>IFERROR(INDEX(案類分類清單,MATCH([@案類],案類名稱清單,0)),"")</f>
        <v/>
      </c>
      <c r="U67" s="15">
        <f>IFERROR(INDEX(納入全般清單,MATCH([@案類],案類名稱清單,0)),"否")</f>
        <v/>
      </c>
      <c r="V67" s="15">
        <f>IFERROR([@歸屬年度]*10000+IFERROR(MATCH([@案件狀況],{"尚未偵破","已破獲未移送","已移送","簽結"},0),0)*100+ROW(),0)</f>
        <v/>
      </c>
      <c r="W67" s="227" t="n"/>
      <c r="X67" s="15">
        <f>IFERROR(IF([@績效類別]="","是","否"),"是")</f>
        <v/>
      </c>
      <c r="Y67" s="227" t="n"/>
    </row>
    <row r="68" ht="30" customHeight="1">
      <c r="A68" s="227" t="n"/>
      <c r="B68" s="227" t="n"/>
      <c r="C68" s="227" t="n"/>
      <c r="D68" s="228" t="n"/>
      <c r="E68" s="227" t="n"/>
      <c r="F68" s="228" t="n"/>
      <c r="G68" s="227" t="n"/>
      <c r="H68" s="227" t="n"/>
      <c r="I68" s="227" t="n"/>
      <c r="J68" s="227" t="n"/>
      <c r="K68" s="227" t="n"/>
      <c r="L68" s="227" t="n"/>
      <c r="M68" s="227" t="n"/>
      <c r="N68" s="227" t="n"/>
      <c r="O68" s="229" t="n"/>
      <c r="P68" s="230" t="n"/>
      <c r="Q68" s="227" t="n"/>
      <c r="R68" s="15">
        <f>IFERROR(IF(OR([@案件狀況]="已破獲未移送",[@案件狀況]="已移送"),"是","否"),"")</f>
        <v/>
      </c>
      <c r="S68" s="15">
        <f>IFERROR(IF([@發生時間]="","",YEAR([@發生時間])-1911),"")</f>
        <v/>
      </c>
      <c r="T68" s="15">
        <f>IFERROR(INDEX(案類分類清單,MATCH([@案類],案類名稱清單,0)),"")</f>
        <v/>
      </c>
      <c r="U68" s="15">
        <f>IFERROR(INDEX(納入全般清單,MATCH([@案類],案類名稱清單,0)),"否")</f>
        <v/>
      </c>
      <c r="V68" s="15">
        <f>IFERROR([@歸屬年度]*10000+IFERROR(MATCH([@案件狀況],{"尚未偵破","已破獲未移送","已移送","簽結"},0),0)*100+ROW(),0)</f>
        <v/>
      </c>
      <c r="W68" s="227" t="n"/>
      <c r="X68" s="15">
        <f>IFERROR(IF([@績效類別]="","是","否"),"是")</f>
        <v/>
      </c>
      <c r="Y68" s="227" t="n"/>
    </row>
    <row r="69" ht="30" customHeight="1">
      <c r="A69" s="227" t="n"/>
      <c r="B69" s="227" t="n"/>
      <c r="C69" s="227" t="n"/>
      <c r="D69" s="228" t="n"/>
      <c r="E69" s="227" t="n"/>
      <c r="F69" s="228" t="n"/>
      <c r="G69" s="227" t="n"/>
      <c r="H69" s="227" t="n"/>
      <c r="I69" s="227" t="n"/>
      <c r="J69" s="227" t="n"/>
      <c r="K69" s="227" t="n"/>
      <c r="L69" s="227" t="n"/>
      <c r="M69" s="227" t="n"/>
      <c r="N69" s="227" t="n"/>
      <c r="O69" s="229" t="n"/>
      <c r="P69" s="230" t="n"/>
      <c r="Q69" s="227" t="n"/>
      <c r="R69" s="15">
        <f>IFERROR(IF(OR([@案件狀況]="已破獲未移送",[@案件狀況]="已移送"),"是","否"),"")</f>
        <v/>
      </c>
      <c r="S69" s="15">
        <f>IFERROR(IF([@發生時間]="","",YEAR([@發生時間])-1911),"")</f>
        <v/>
      </c>
      <c r="T69" s="15">
        <f>IFERROR(INDEX(案類分類清單,MATCH([@案類],案類名稱清單,0)),"")</f>
        <v/>
      </c>
      <c r="U69" s="15">
        <f>IFERROR(INDEX(納入全般清單,MATCH([@案類],案類名稱清單,0)),"否")</f>
        <v/>
      </c>
      <c r="V69" s="15">
        <f>IFERROR([@歸屬年度]*10000+IFERROR(MATCH([@案件狀況],{"尚未偵破","已破獲未移送","已移送","簽結"},0),0)*100+ROW(),0)</f>
        <v/>
      </c>
      <c r="W69" s="227" t="n"/>
      <c r="X69" s="15">
        <f>IFERROR(IF([@績效類別]="","是","否"),"是")</f>
        <v/>
      </c>
      <c r="Y69" s="227" t="n"/>
    </row>
    <row r="70" ht="30" customHeight="1">
      <c r="A70" s="227" t="n"/>
      <c r="B70" s="227" t="n"/>
      <c r="C70" s="227" t="n"/>
      <c r="D70" s="228" t="n"/>
      <c r="E70" s="227" t="n"/>
      <c r="F70" s="228" t="n"/>
      <c r="G70" s="227" t="n"/>
      <c r="H70" s="227" t="n"/>
      <c r="I70" s="227" t="n"/>
      <c r="J70" s="227" t="n"/>
      <c r="K70" s="227" t="n"/>
      <c r="L70" s="227" t="n"/>
      <c r="M70" s="227" t="n"/>
      <c r="N70" s="227" t="n"/>
      <c r="O70" s="229" t="n"/>
      <c r="P70" s="230" t="n"/>
      <c r="Q70" s="227" t="n"/>
      <c r="R70" s="15">
        <f>IFERROR(IF(OR([@案件狀況]="已破獲未移送",[@案件狀況]="已移送"),"是","否"),"")</f>
        <v/>
      </c>
      <c r="S70" s="15">
        <f>IFERROR(IF([@發生時間]="","",YEAR([@發生時間])-1911),"")</f>
        <v/>
      </c>
      <c r="T70" s="15">
        <f>IFERROR(INDEX(案類分類清單,MATCH([@案類],案類名稱清單,0)),"")</f>
        <v/>
      </c>
      <c r="U70" s="15">
        <f>IFERROR(INDEX(納入全般清單,MATCH([@案類],案類名稱清單,0)),"否")</f>
        <v/>
      </c>
      <c r="V70" s="15">
        <f>IFERROR([@歸屬年度]*10000+IFERROR(MATCH([@案件狀況],{"尚未偵破","已破獲未移送","已移送","簽結"},0),0)*100+ROW(),0)</f>
        <v/>
      </c>
      <c r="W70" s="227" t="n"/>
      <c r="X70" s="15">
        <f>IFERROR(IF([@績效類別]="","是","否"),"是")</f>
        <v/>
      </c>
      <c r="Y70" s="227" t="n"/>
    </row>
    <row r="71" ht="30" customHeight="1">
      <c r="A71" s="227" t="n"/>
      <c r="B71" s="227" t="n"/>
      <c r="C71" s="227" t="n"/>
      <c r="D71" s="228" t="n"/>
      <c r="E71" s="227" t="n"/>
      <c r="F71" s="228" t="n"/>
      <c r="G71" s="227" t="n"/>
      <c r="H71" s="227" t="n"/>
      <c r="I71" s="227" t="n"/>
      <c r="J71" s="227" t="n"/>
      <c r="K71" s="227" t="n"/>
      <c r="L71" s="227" t="n"/>
      <c r="M71" s="227" t="n"/>
      <c r="N71" s="227" t="n"/>
      <c r="O71" s="229" t="n"/>
      <c r="P71" s="230" t="n"/>
      <c r="Q71" s="227" t="n"/>
      <c r="R71" s="15">
        <f>IFERROR(IF(OR([@案件狀況]="已破獲未移送",[@案件狀況]="已移送"),"是","否"),"")</f>
        <v/>
      </c>
      <c r="S71" s="15">
        <f>IFERROR(IF([@發生時間]="","",YEAR([@發生時間])-1911),"")</f>
        <v/>
      </c>
      <c r="T71" s="15">
        <f>IFERROR(INDEX(案類分類清單,MATCH([@案類],案類名稱清單,0)),"")</f>
        <v/>
      </c>
      <c r="U71" s="15">
        <f>IFERROR(INDEX(納入全般清單,MATCH([@案類],案類名稱清單,0)),"否")</f>
        <v/>
      </c>
      <c r="V71" s="15">
        <f>IFERROR([@歸屬年度]*10000+IFERROR(MATCH([@案件狀況],{"尚未偵破","已破獲未移送","已移送","簽結"},0),0)*100+ROW(),0)</f>
        <v/>
      </c>
      <c r="W71" s="227" t="n"/>
      <c r="X71" s="15">
        <f>IFERROR(IF([@績效類別]="","是","否"),"是")</f>
        <v/>
      </c>
      <c r="Y71" s="227" t="n"/>
    </row>
    <row r="72" ht="30" customHeight="1">
      <c r="A72" s="227" t="n"/>
      <c r="B72" s="227" t="n"/>
      <c r="C72" s="227" t="n"/>
      <c r="D72" s="228" t="n"/>
      <c r="E72" s="227" t="n"/>
      <c r="F72" s="228" t="n"/>
      <c r="G72" s="227" t="n"/>
      <c r="H72" s="227" t="n"/>
      <c r="I72" s="227" t="n"/>
      <c r="J72" s="227" t="n"/>
      <c r="K72" s="227" t="n"/>
      <c r="L72" s="227" t="n"/>
      <c r="M72" s="227" t="n"/>
      <c r="N72" s="227" t="n"/>
      <c r="O72" s="229" t="n"/>
      <c r="P72" s="230" t="n"/>
      <c r="Q72" s="227" t="n"/>
      <c r="R72" s="15">
        <f>IFERROR(IF(OR([@案件狀況]="已破獲未移送",[@案件狀況]="已移送"),"是","否"),"")</f>
        <v/>
      </c>
      <c r="S72" s="15">
        <f>IFERROR(IF([@發生時間]="","",YEAR([@發生時間])-1911),"")</f>
        <v/>
      </c>
      <c r="T72" s="15">
        <f>IFERROR(INDEX(案類分類清單,MATCH([@案類],案類名稱清單,0)),"")</f>
        <v/>
      </c>
      <c r="U72" s="15">
        <f>IFERROR(INDEX(納入全般清單,MATCH([@案類],案類名稱清單,0)),"否")</f>
        <v/>
      </c>
      <c r="V72" s="15">
        <f>IFERROR([@歸屬年度]*10000+IFERROR(MATCH([@案件狀況],{"尚未偵破","已破獲未移送","已移送","簽結"},0),0)*100+ROW(),0)</f>
        <v/>
      </c>
      <c r="W72" s="227" t="n"/>
      <c r="X72" s="15">
        <f>IFERROR(IF([@績效類別]="","是","否"),"是")</f>
        <v/>
      </c>
      <c r="Y72" s="227" t="n"/>
    </row>
    <row r="73" ht="30" customHeight="1">
      <c r="A73" s="227" t="n"/>
      <c r="B73" s="227" t="n"/>
      <c r="C73" s="227" t="n"/>
      <c r="D73" s="228" t="n"/>
      <c r="E73" s="227" t="n"/>
      <c r="F73" s="228" t="n"/>
      <c r="G73" s="227" t="n"/>
      <c r="H73" s="227" t="n"/>
      <c r="I73" s="227" t="n"/>
      <c r="J73" s="227" t="n"/>
      <c r="K73" s="227" t="n"/>
      <c r="L73" s="227" t="n"/>
      <c r="M73" s="227" t="n"/>
      <c r="N73" s="227" t="n"/>
      <c r="O73" s="229" t="n"/>
      <c r="P73" s="230" t="n"/>
      <c r="Q73" s="227" t="n"/>
      <c r="R73" s="15">
        <f>IFERROR(IF(OR([@案件狀況]="已破獲未移送",[@案件狀況]="已移送"),"是","否"),"")</f>
        <v/>
      </c>
      <c r="S73" s="15">
        <f>IFERROR(IF([@發生時間]="","",YEAR([@發生時間])-1911),"")</f>
        <v/>
      </c>
      <c r="T73" s="15">
        <f>IFERROR(INDEX(案類分類清單,MATCH([@案類],案類名稱清單,0)),"")</f>
        <v/>
      </c>
      <c r="U73" s="15">
        <f>IFERROR(INDEX(納入全般清單,MATCH([@案類],案類名稱清單,0)),"否")</f>
        <v/>
      </c>
      <c r="V73" s="15">
        <f>IFERROR([@歸屬年度]*10000+IFERROR(MATCH([@案件狀況],{"尚未偵破","已破獲未移送","已移送","簽結"},0),0)*100+ROW(),0)</f>
        <v/>
      </c>
      <c r="W73" s="227" t="n"/>
      <c r="X73" s="15">
        <f>IFERROR(IF([@績效類別]="","是","否"),"是")</f>
        <v/>
      </c>
      <c r="Y73" s="227" t="n"/>
    </row>
    <row r="74" ht="30" customHeight="1">
      <c r="A74" s="227" t="n"/>
      <c r="B74" s="227" t="n"/>
      <c r="C74" s="227" t="n"/>
      <c r="D74" s="228" t="n"/>
      <c r="E74" s="227" t="n"/>
      <c r="F74" s="228" t="n"/>
      <c r="G74" s="227" t="n"/>
      <c r="H74" s="227" t="n"/>
      <c r="I74" s="227" t="n"/>
      <c r="J74" s="227" t="n"/>
      <c r="K74" s="227" t="n"/>
      <c r="L74" s="227" t="n"/>
      <c r="M74" s="227" t="n"/>
      <c r="N74" s="227" t="n"/>
      <c r="O74" s="229" t="n"/>
      <c r="P74" s="230" t="n"/>
      <c r="Q74" s="227" t="n"/>
      <c r="R74" s="15">
        <f>IFERROR(IF(OR([@案件狀況]="已破獲未移送",[@案件狀況]="已移送"),"是","否"),"")</f>
        <v/>
      </c>
      <c r="S74" s="15">
        <f>IFERROR(IF([@發生時間]="","",YEAR([@發生時間])-1911),"")</f>
        <v/>
      </c>
      <c r="T74" s="15">
        <f>IFERROR(INDEX(案類分類清單,MATCH([@案類],案類名稱清單,0)),"")</f>
        <v/>
      </c>
      <c r="U74" s="15">
        <f>IFERROR(INDEX(納入全般清單,MATCH([@案類],案類名稱清單,0)),"否")</f>
        <v/>
      </c>
      <c r="V74" s="15">
        <f>IFERROR([@歸屬年度]*10000+IFERROR(MATCH([@案件狀況],{"尚未偵破","已破獲未移送","已移送","簽結"},0),0)*100+ROW(),0)</f>
        <v/>
      </c>
      <c r="W74" s="227" t="n"/>
      <c r="X74" s="15">
        <f>IFERROR(IF([@績效類別]="","是","否"),"是")</f>
        <v/>
      </c>
      <c r="Y74" s="227" t="n"/>
    </row>
    <row r="75" ht="30" customHeight="1">
      <c r="A75" s="227" t="n"/>
      <c r="B75" s="227" t="n"/>
      <c r="C75" s="227" t="n"/>
      <c r="D75" s="228" t="n"/>
      <c r="E75" s="227" t="n"/>
      <c r="F75" s="228" t="n"/>
      <c r="G75" s="227" t="n"/>
      <c r="H75" s="227" t="n"/>
      <c r="I75" s="227" t="n"/>
      <c r="J75" s="227" t="n"/>
      <c r="K75" s="227" t="n"/>
      <c r="L75" s="227" t="n"/>
      <c r="M75" s="227" t="n"/>
      <c r="N75" s="227" t="n"/>
      <c r="O75" s="229" t="n"/>
      <c r="P75" s="230" t="n"/>
      <c r="Q75" s="227" t="n"/>
      <c r="R75" s="15">
        <f>IFERROR(IF(OR([@案件狀況]="已破獲未移送",[@案件狀況]="已移送"),"是","否"),"")</f>
        <v/>
      </c>
      <c r="S75" s="15">
        <f>IFERROR(IF([@發生時間]="","",YEAR([@發生時間])-1911),"")</f>
        <v/>
      </c>
      <c r="T75" s="15">
        <f>IFERROR(INDEX(案類分類清單,MATCH([@案類],案類名稱清單,0)),"")</f>
        <v/>
      </c>
      <c r="U75" s="15">
        <f>IFERROR(INDEX(納入全般清單,MATCH([@案類],案類名稱清單,0)),"否")</f>
        <v/>
      </c>
      <c r="V75" s="15">
        <f>IFERROR([@歸屬年度]*10000+IFERROR(MATCH([@案件狀況],{"尚未偵破","已破獲未移送","已移送","簽結"},0),0)*100+ROW(),0)</f>
        <v/>
      </c>
      <c r="W75" s="227" t="n"/>
      <c r="X75" s="15">
        <f>IFERROR(IF([@績效類別]="","是","否"),"是")</f>
        <v/>
      </c>
      <c r="Y75" s="227" t="n"/>
    </row>
    <row r="76" ht="30" customHeight="1">
      <c r="A76" s="227" t="n"/>
      <c r="B76" s="227" t="n"/>
      <c r="C76" s="227" t="n"/>
      <c r="D76" s="228" t="n"/>
      <c r="E76" s="227" t="n"/>
      <c r="F76" s="228" t="n"/>
      <c r="G76" s="227" t="n"/>
      <c r="H76" s="227" t="n"/>
      <c r="I76" s="227" t="n"/>
      <c r="J76" s="227" t="n"/>
      <c r="K76" s="227" t="n"/>
      <c r="L76" s="227" t="n"/>
      <c r="M76" s="227" t="n"/>
      <c r="N76" s="227" t="n"/>
      <c r="O76" s="229" t="n"/>
      <c r="P76" s="230" t="n"/>
      <c r="Q76" s="227" t="n"/>
      <c r="R76" s="15">
        <f>IFERROR(IF(OR([@案件狀況]="已破獲未移送",[@案件狀況]="已移送"),"是","否"),"")</f>
        <v/>
      </c>
      <c r="S76" s="15">
        <f>IFERROR(IF([@發生時間]="","",YEAR([@發生時間])-1911),"")</f>
        <v/>
      </c>
      <c r="T76" s="15">
        <f>IFERROR(INDEX(案類分類清單,MATCH([@案類],案類名稱清單,0)),"")</f>
        <v/>
      </c>
      <c r="U76" s="15">
        <f>IFERROR(INDEX(納入全般清單,MATCH([@案類],案類名稱清單,0)),"否")</f>
        <v/>
      </c>
      <c r="V76" s="15">
        <f>IFERROR([@歸屬年度]*10000+IFERROR(MATCH([@案件狀況],{"尚未偵破","已破獲未移送","已移送","簽結"},0),0)*100+ROW(),0)</f>
        <v/>
      </c>
      <c r="W76" s="227" t="n"/>
      <c r="X76" s="15">
        <f>IFERROR(IF([@績效類別]="","是","否"),"是")</f>
        <v/>
      </c>
      <c r="Y76" s="227" t="n"/>
    </row>
    <row r="77" ht="30" customHeight="1">
      <c r="A77" s="227" t="n"/>
      <c r="B77" s="227" t="n"/>
      <c r="C77" s="227" t="n"/>
      <c r="D77" s="228" t="n"/>
      <c r="E77" s="227" t="n"/>
      <c r="F77" s="228" t="n"/>
      <c r="G77" s="227" t="n"/>
      <c r="H77" s="227" t="n"/>
      <c r="I77" s="227" t="n"/>
      <c r="J77" s="227" t="n"/>
      <c r="K77" s="227" t="n"/>
      <c r="L77" s="227" t="n"/>
      <c r="M77" s="227" t="n"/>
      <c r="N77" s="227" t="n"/>
      <c r="O77" s="229" t="n"/>
      <c r="P77" s="230" t="n"/>
      <c r="Q77" s="227" t="n"/>
      <c r="R77" s="15">
        <f>IFERROR(IF(OR([@案件狀況]="已破獲未移送",[@案件狀況]="已移送"),"是","否"),"")</f>
        <v/>
      </c>
      <c r="S77" s="15">
        <f>IFERROR(IF([@發生時間]="","",YEAR([@發生時間])-1911),"")</f>
        <v/>
      </c>
      <c r="T77" s="15">
        <f>IFERROR(INDEX(案類分類清單,MATCH([@案類],案類名稱清單,0)),"")</f>
        <v/>
      </c>
      <c r="U77" s="15">
        <f>IFERROR(INDEX(納入全般清單,MATCH([@案類],案類名稱清單,0)),"否")</f>
        <v/>
      </c>
      <c r="V77" s="15">
        <f>IFERROR([@歸屬年度]*10000+IFERROR(MATCH([@案件狀況],{"尚未偵破","已破獲未移送","已移送","簽結"},0),0)*100+ROW(),0)</f>
        <v/>
      </c>
      <c r="W77" s="227" t="n"/>
      <c r="X77" s="15">
        <f>IFERROR(IF([@績效類別]="","是","否"),"是")</f>
        <v/>
      </c>
      <c r="Y77" s="227" t="n"/>
    </row>
    <row r="78" ht="30" customHeight="1">
      <c r="A78" s="227" t="n"/>
      <c r="B78" s="227" t="n"/>
      <c r="C78" s="227" t="n"/>
      <c r="D78" s="228" t="n"/>
      <c r="E78" s="227" t="n"/>
      <c r="F78" s="228" t="n"/>
      <c r="G78" s="227" t="n"/>
      <c r="H78" s="227" t="n"/>
      <c r="I78" s="227" t="n"/>
      <c r="J78" s="227" t="n"/>
      <c r="K78" s="227" t="n"/>
      <c r="L78" s="227" t="n"/>
      <c r="M78" s="227" t="n"/>
      <c r="N78" s="227" t="n"/>
      <c r="O78" s="229" t="n"/>
      <c r="P78" s="230" t="n"/>
      <c r="Q78" s="227" t="n"/>
      <c r="R78" s="15">
        <f>IFERROR(IF(OR([@案件狀況]="已破獲未移送",[@案件狀況]="已移送"),"是","否"),"")</f>
        <v/>
      </c>
      <c r="S78" s="15">
        <f>IFERROR(IF([@發生時間]="","",YEAR([@發生時間])-1911),"")</f>
        <v/>
      </c>
      <c r="T78" s="15">
        <f>IFERROR(INDEX(案類分類清單,MATCH([@案類],案類名稱清單,0)),"")</f>
        <v/>
      </c>
      <c r="U78" s="15">
        <f>IFERROR(INDEX(納入全般清單,MATCH([@案類],案類名稱清單,0)),"否")</f>
        <v/>
      </c>
      <c r="V78" s="15">
        <f>IFERROR([@歸屬年度]*10000+IFERROR(MATCH([@案件狀況],{"尚未偵破","已破獲未移送","已移送","簽結"},0),0)*100+ROW(),0)</f>
        <v/>
      </c>
      <c r="W78" s="227" t="n"/>
      <c r="X78" s="15">
        <f>IFERROR(IF([@績效類別]="","是","否"),"是")</f>
        <v/>
      </c>
      <c r="Y78" s="227" t="n"/>
    </row>
    <row r="79" ht="30" customHeight="1">
      <c r="A79" s="227" t="n"/>
      <c r="B79" s="227" t="n"/>
      <c r="C79" s="227" t="n"/>
      <c r="D79" s="228" t="n"/>
      <c r="E79" s="227" t="n"/>
      <c r="F79" s="228" t="n"/>
      <c r="G79" s="227" t="n"/>
      <c r="H79" s="227" t="n"/>
      <c r="I79" s="227" t="n"/>
      <c r="J79" s="227" t="n"/>
      <c r="K79" s="227" t="n"/>
      <c r="L79" s="227" t="n"/>
      <c r="M79" s="227" t="n"/>
      <c r="N79" s="227" t="n"/>
      <c r="O79" s="229" t="n"/>
      <c r="P79" s="230" t="n"/>
      <c r="Q79" s="227" t="n"/>
      <c r="R79" s="15">
        <f>IFERROR(IF(OR([@案件狀況]="已破獲未移送",[@案件狀況]="已移送"),"是","否"),"")</f>
        <v/>
      </c>
      <c r="S79" s="15">
        <f>IFERROR(IF([@發生時間]="","",YEAR([@發生時間])-1911),"")</f>
        <v/>
      </c>
      <c r="T79" s="15">
        <f>IFERROR(INDEX(案類分類清單,MATCH([@案類],案類名稱清單,0)),"")</f>
        <v/>
      </c>
      <c r="U79" s="15">
        <f>IFERROR(INDEX(納入全般清單,MATCH([@案類],案類名稱清單,0)),"否")</f>
        <v/>
      </c>
      <c r="V79" s="15">
        <f>IFERROR([@歸屬年度]*10000+IFERROR(MATCH([@案件狀況],{"尚未偵破","已破獲未移送","已移送","簽結"},0),0)*100+ROW(),0)</f>
        <v/>
      </c>
      <c r="W79" s="227" t="n"/>
      <c r="X79" s="15">
        <f>IFERROR(IF([@績效類別]="","是","否"),"是")</f>
        <v/>
      </c>
      <c r="Y79" s="227" t="n"/>
    </row>
    <row r="80" ht="30" customHeight="1">
      <c r="A80" s="227" t="n"/>
      <c r="B80" s="227" t="n"/>
      <c r="C80" s="227" t="n"/>
      <c r="D80" s="228" t="n"/>
      <c r="E80" s="227" t="n"/>
      <c r="F80" s="228" t="n"/>
      <c r="G80" s="227" t="n"/>
      <c r="H80" s="227" t="n"/>
      <c r="I80" s="227" t="n"/>
      <c r="J80" s="227" t="n"/>
      <c r="K80" s="227" t="n"/>
      <c r="L80" s="227" t="n"/>
      <c r="M80" s="227" t="n"/>
      <c r="N80" s="227" t="n"/>
      <c r="O80" s="229" t="n"/>
      <c r="P80" s="230" t="n"/>
      <c r="Q80" s="227" t="n"/>
      <c r="R80" s="15">
        <f>IFERROR(IF(OR([@案件狀況]="已破獲未移送",[@案件狀況]="已移送"),"是","否"),"")</f>
        <v/>
      </c>
      <c r="S80" s="15">
        <f>IFERROR(IF([@發生時間]="","",YEAR([@發生時間])-1911),"")</f>
        <v/>
      </c>
      <c r="T80" s="15">
        <f>IFERROR(INDEX(案類分類清單,MATCH([@案類],案類名稱清單,0)),"")</f>
        <v/>
      </c>
      <c r="U80" s="15">
        <f>IFERROR(INDEX(納入全般清單,MATCH([@案類],案類名稱清單,0)),"否")</f>
        <v/>
      </c>
      <c r="V80" s="15">
        <f>IFERROR([@歸屬年度]*10000+IFERROR(MATCH([@案件狀況],{"尚未偵破","已破獲未移送","已移送","簽結"},0),0)*100+ROW(),0)</f>
        <v/>
      </c>
      <c r="W80" s="227" t="n"/>
      <c r="X80" s="15">
        <f>IFERROR(IF([@績效類別]="","是","否"),"是")</f>
        <v/>
      </c>
      <c r="Y80" s="227" t="n"/>
    </row>
    <row r="81" ht="30" customHeight="1">
      <c r="A81" s="227" t="n"/>
      <c r="B81" s="227" t="n"/>
      <c r="C81" s="227" t="n"/>
      <c r="D81" s="228" t="n"/>
      <c r="E81" s="227" t="n"/>
      <c r="F81" s="228" t="n"/>
      <c r="G81" s="227" t="n"/>
      <c r="H81" s="227" t="n"/>
      <c r="I81" s="227" t="n"/>
      <c r="J81" s="227" t="n"/>
      <c r="K81" s="227" t="n"/>
      <c r="L81" s="227" t="n"/>
      <c r="M81" s="227" t="n"/>
      <c r="N81" s="227" t="n"/>
      <c r="O81" s="229" t="n"/>
      <c r="P81" s="230" t="n"/>
      <c r="Q81" s="227" t="n"/>
      <c r="R81" s="15">
        <f>IFERROR(IF(OR([@案件狀況]="已破獲未移送",[@案件狀況]="已移送"),"是","否"),"")</f>
        <v/>
      </c>
      <c r="S81" s="15">
        <f>IFERROR(IF([@發生時間]="","",YEAR([@發生時間])-1911),"")</f>
        <v/>
      </c>
      <c r="T81" s="15">
        <f>IFERROR(INDEX(案類分類清單,MATCH([@案類],案類名稱清單,0)),"")</f>
        <v/>
      </c>
      <c r="U81" s="15">
        <f>IFERROR(INDEX(納入全般清單,MATCH([@案類],案類名稱清單,0)),"否")</f>
        <v/>
      </c>
      <c r="V81" s="15">
        <f>IFERROR([@歸屬年度]*10000+IFERROR(MATCH([@案件狀況],{"尚未偵破","已破獲未移送","已移送","簽結"},0),0)*100+ROW(),0)</f>
        <v/>
      </c>
      <c r="W81" s="227" t="n"/>
      <c r="X81" s="15">
        <f>IFERROR(IF([@績效類別]="","是","否"),"是")</f>
        <v/>
      </c>
      <c r="Y81" s="227" t="n"/>
    </row>
    <row r="82" ht="30" customHeight="1">
      <c r="A82" s="227" t="n"/>
      <c r="B82" s="227" t="n"/>
      <c r="C82" s="227" t="n"/>
      <c r="D82" s="228" t="n"/>
      <c r="E82" s="227" t="n"/>
      <c r="F82" s="228" t="n"/>
      <c r="G82" s="227" t="n"/>
      <c r="H82" s="227" t="n"/>
      <c r="I82" s="227" t="n"/>
      <c r="J82" s="227" t="n"/>
      <c r="K82" s="227" t="n"/>
      <c r="L82" s="227" t="n"/>
      <c r="M82" s="227" t="n"/>
      <c r="N82" s="227" t="n"/>
      <c r="O82" s="229" t="n"/>
      <c r="P82" s="230" t="n"/>
      <c r="Q82" s="227" t="n"/>
      <c r="R82" s="15">
        <f>IFERROR(IF(OR([@案件狀況]="已破獲未移送",[@案件狀況]="已移送"),"是","否"),"")</f>
        <v/>
      </c>
      <c r="S82" s="15">
        <f>IFERROR(IF([@發生時間]="","",YEAR([@發生時間])-1911),"")</f>
        <v/>
      </c>
      <c r="T82" s="15">
        <f>IFERROR(INDEX(案類分類清單,MATCH([@案類],案類名稱清單,0)),"")</f>
        <v/>
      </c>
      <c r="U82" s="15">
        <f>IFERROR(INDEX(納入全般清單,MATCH([@案類],案類名稱清單,0)),"否")</f>
        <v/>
      </c>
      <c r="V82" s="15">
        <f>IFERROR([@歸屬年度]*10000+IFERROR(MATCH([@案件狀況],{"尚未偵破","已破獲未移送","已移送","簽結"},0),0)*100+ROW(),0)</f>
        <v/>
      </c>
      <c r="W82" s="227" t="n"/>
      <c r="X82" s="15">
        <f>IFERROR(IF([@績效類別]="","是","否"),"是")</f>
        <v/>
      </c>
      <c r="Y82" s="227" t="n"/>
    </row>
    <row r="83" ht="30" customHeight="1">
      <c r="A83" s="227" t="n"/>
      <c r="B83" s="227" t="n"/>
      <c r="C83" s="227" t="n"/>
      <c r="D83" s="228" t="n"/>
      <c r="E83" s="227" t="n"/>
      <c r="F83" s="228" t="n"/>
      <c r="G83" s="227" t="n"/>
      <c r="H83" s="227" t="n"/>
      <c r="I83" s="227" t="n"/>
      <c r="J83" s="227" t="n"/>
      <c r="K83" s="227" t="n"/>
      <c r="L83" s="227" t="n"/>
      <c r="M83" s="227" t="n"/>
      <c r="N83" s="227" t="n"/>
      <c r="O83" s="229" t="n"/>
      <c r="P83" s="230" t="n"/>
      <c r="Q83" s="227" t="n"/>
      <c r="R83" s="15">
        <f>IFERROR(IF(OR([@案件狀況]="已破獲未移送",[@案件狀況]="已移送"),"是","否"),"")</f>
        <v/>
      </c>
      <c r="S83" s="15">
        <f>IFERROR(IF([@發生時間]="","",YEAR([@發生時間])-1911),"")</f>
        <v/>
      </c>
      <c r="T83" s="15">
        <f>IFERROR(INDEX(案類分類清單,MATCH([@案類],案類名稱清單,0)),"")</f>
        <v/>
      </c>
      <c r="U83" s="15">
        <f>IFERROR(INDEX(納入全般清單,MATCH([@案類],案類名稱清單,0)),"否")</f>
        <v/>
      </c>
      <c r="V83" s="15">
        <f>IFERROR([@歸屬年度]*10000+IFERROR(MATCH([@案件狀況],{"尚未偵破","已破獲未移送","已移送","簽結"},0),0)*100+ROW(),0)</f>
        <v/>
      </c>
      <c r="W83" s="227" t="n"/>
      <c r="X83" s="15">
        <f>IFERROR(IF([@績效類別]="","是","否"),"是")</f>
        <v/>
      </c>
      <c r="Y83" s="227" t="n"/>
    </row>
    <row r="84" ht="30" customHeight="1">
      <c r="A84" s="227" t="n"/>
      <c r="B84" s="227" t="n"/>
      <c r="C84" s="227" t="n"/>
      <c r="D84" s="228" t="n"/>
      <c r="E84" s="227" t="n"/>
      <c r="F84" s="228" t="n"/>
      <c r="G84" s="227" t="n"/>
      <c r="H84" s="227" t="n"/>
      <c r="I84" s="227" t="n"/>
      <c r="J84" s="227" t="n"/>
      <c r="K84" s="227" t="n"/>
      <c r="L84" s="227" t="n"/>
      <c r="M84" s="227" t="n"/>
      <c r="N84" s="227" t="n"/>
      <c r="O84" s="229" t="n"/>
      <c r="P84" s="230" t="n"/>
      <c r="Q84" s="227" t="n"/>
      <c r="R84" s="15">
        <f>IFERROR(IF(OR([@案件狀況]="已破獲未移送",[@案件狀況]="已移送"),"是","否"),"")</f>
        <v/>
      </c>
      <c r="S84" s="15">
        <f>IFERROR(IF([@發生時間]="","",YEAR([@發生時間])-1911),"")</f>
        <v/>
      </c>
      <c r="T84" s="15">
        <f>IFERROR(INDEX(案類分類清單,MATCH([@案類],案類名稱清單,0)),"")</f>
        <v/>
      </c>
      <c r="U84" s="15">
        <f>IFERROR(INDEX(納入全般清單,MATCH([@案類],案類名稱清單,0)),"否")</f>
        <v/>
      </c>
      <c r="V84" s="15">
        <f>IFERROR([@歸屬年度]*10000+IFERROR(MATCH([@案件狀況],{"尚未偵破","已破獲未移送","已移送","簽結"},0),0)*100+ROW(),0)</f>
        <v/>
      </c>
      <c r="W84" s="227" t="n"/>
      <c r="X84" s="15">
        <f>IFERROR(IF([@績效類別]="","是","否"),"是")</f>
        <v/>
      </c>
      <c r="Y84" s="227" t="n"/>
    </row>
    <row r="85" ht="30" customHeight="1">
      <c r="A85" s="227" t="n"/>
      <c r="B85" s="227" t="n"/>
      <c r="C85" s="227" t="n"/>
      <c r="D85" s="228" t="n"/>
      <c r="E85" s="227" t="n"/>
      <c r="F85" s="228" t="n"/>
      <c r="G85" s="227" t="n"/>
      <c r="H85" s="227" t="n"/>
      <c r="I85" s="227" t="n"/>
      <c r="J85" s="227" t="n"/>
      <c r="K85" s="227" t="n"/>
      <c r="L85" s="227" t="n"/>
      <c r="M85" s="227" t="n"/>
      <c r="N85" s="227" t="n"/>
      <c r="O85" s="229" t="n"/>
      <c r="P85" s="230" t="n"/>
      <c r="Q85" s="227" t="n"/>
      <c r="R85" s="15">
        <f>IFERROR(IF(OR([@案件狀況]="已破獲未移送",[@案件狀況]="已移送"),"是","否"),"")</f>
        <v/>
      </c>
      <c r="S85" s="15">
        <f>IFERROR(IF([@發生時間]="","",YEAR([@發生時間])-1911),"")</f>
        <v/>
      </c>
      <c r="T85" s="15">
        <f>IFERROR(INDEX(案類分類清單,MATCH([@案類],案類名稱清單,0)),"")</f>
        <v/>
      </c>
      <c r="U85" s="15">
        <f>IFERROR(INDEX(納入全般清單,MATCH([@案類],案類名稱清單,0)),"否")</f>
        <v/>
      </c>
      <c r="V85" s="15">
        <f>IFERROR([@歸屬年度]*10000+IFERROR(MATCH([@案件狀況],{"尚未偵破","已破獲未移送","已移送","簽結"},0),0)*100+ROW(),0)</f>
        <v/>
      </c>
      <c r="W85" s="227" t="n"/>
      <c r="X85" s="15">
        <f>IFERROR(IF([@績效類別]="","是","否"),"是")</f>
        <v/>
      </c>
      <c r="Y85" s="227" t="n"/>
    </row>
    <row r="86" ht="30" customHeight="1">
      <c r="A86" s="227" t="n"/>
      <c r="B86" s="227" t="n"/>
      <c r="C86" s="227" t="n"/>
      <c r="D86" s="228" t="n"/>
      <c r="E86" s="227" t="n"/>
      <c r="F86" s="228" t="n"/>
      <c r="G86" s="227" t="n"/>
      <c r="H86" s="227" t="n"/>
      <c r="I86" s="227" t="n"/>
      <c r="J86" s="227" t="n"/>
      <c r="K86" s="227" t="n"/>
      <c r="L86" s="227" t="n"/>
      <c r="M86" s="227" t="n"/>
      <c r="N86" s="227" t="n"/>
      <c r="O86" s="229" t="n"/>
      <c r="P86" s="230" t="n"/>
      <c r="Q86" s="227" t="n"/>
      <c r="R86" s="15">
        <f>IFERROR(IF(OR([@案件狀況]="已破獲未移送",[@案件狀況]="已移送"),"是","否"),"")</f>
        <v/>
      </c>
      <c r="S86" s="15">
        <f>IFERROR(IF([@發生時間]="","",YEAR([@發生時間])-1911),"")</f>
        <v/>
      </c>
      <c r="T86" s="15">
        <f>IFERROR(INDEX(案類分類清單,MATCH([@案類],案類名稱清單,0)),"")</f>
        <v/>
      </c>
      <c r="U86" s="15">
        <f>IFERROR(INDEX(納入全般清單,MATCH([@案類],案類名稱清單,0)),"否")</f>
        <v/>
      </c>
      <c r="V86" s="15">
        <f>IFERROR([@歸屬年度]*10000+IFERROR(MATCH([@案件狀況],{"尚未偵破","已破獲未移送","已移送","簽結"},0),0)*100+ROW(),0)</f>
        <v/>
      </c>
      <c r="W86" s="227" t="n"/>
      <c r="X86" s="15">
        <f>IFERROR(IF([@績效類別]="","是","否"),"是")</f>
        <v/>
      </c>
      <c r="Y86" s="227" t="n"/>
    </row>
    <row r="87" ht="30" customHeight="1">
      <c r="A87" s="227" t="n"/>
      <c r="B87" s="227" t="n"/>
      <c r="C87" s="227" t="n"/>
      <c r="D87" s="228" t="n"/>
      <c r="E87" s="227" t="n"/>
      <c r="F87" s="228" t="n"/>
      <c r="G87" s="227" t="n"/>
      <c r="H87" s="227" t="n"/>
      <c r="I87" s="227" t="n"/>
      <c r="J87" s="227" t="n"/>
      <c r="K87" s="227" t="n"/>
      <c r="L87" s="227" t="n"/>
      <c r="M87" s="227" t="n"/>
      <c r="N87" s="227" t="n"/>
      <c r="O87" s="229" t="n"/>
      <c r="P87" s="230" t="n"/>
      <c r="Q87" s="227" t="n"/>
      <c r="R87" s="15">
        <f>IFERROR(IF(OR([@案件狀況]="已破獲未移送",[@案件狀況]="已移送"),"是","否"),"")</f>
        <v/>
      </c>
      <c r="S87" s="15">
        <f>IFERROR(IF([@發生時間]="","",YEAR([@發生時間])-1911),"")</f>
        <v/>
      </c>
      <c r="T87" s="15">
        <f>IFERROR(INDEX(案類分類清單,MATCH([@案類],案類名稱清單,0)),"")</f>
        <v/>
      </c>
      <c r="U87" s="15">
        <f>IFERROR(INDEX(納入全般清單,MATCH([@案類],案類名稱清單,0)),"否")</f>
        <v/>
      </c>
      <c r="V87" s="15">
        <f>IFERROR([@歸屬年度]*10000+IFERROR(MATCH([@案件狀況],{"尚未偵破","已破獲未移送","已移送","簽結"},0),0)*100+ROW(),0)</f>
        <v/>
      </c>
      <c r="W87" s="227" t="n"/>
      <c r="X87" s="15">
        <f>IFERROR(IF([@績效類別]="","是","否"),"是")</f>
        <v/>
      </c>
      <c r="Y87" s="227" t="n"/>
    </row>
    <row r="88" ht="30" customHeight="1">
      <c r="A88" s="227" t="n"/>
      <c r="B88" s="227" t="n"/>
      <c r="C88" s="227" t="n"/>
      <c r="D88" s="228" t="n"/>
      <c r="E88" s="227" t="n"/>
      <c r="F88" s="228" t="n"/>
      <c r="G88" s="227" t="n"/>
      <c r="H88" s="227" t="n"/>
      <c r="I88" s="227" t="n"/>
      <c r="J88" s="227" t="n"/>
      <c r="K88" s="227" t="n"/>
      <c r="L88" s="227" t="n"/>
      <c r="M88" s="227" t="n"/>
      <c r="N88" s="227" t="n"/>
      <c r="O88" s="229" t="n"/>
      <c r="P88" s="230" t="n"/>
      <c r="Q88" s="227" t="n"/>
      <c r="R88" s="15">
        <f>IFERROR(IF(OR([@案件狀況]="已破獲未移送",[@案件狀況]="已移送"),"是","否"),"")</f>
        <v/>
      </c>
      <c r="S88" s="15">
        <f>IFERROR(IF([@發生時間]="","",YEAR([@發生時間])-1911),"")</f>
        <v/>
      </c>
      <c r="T88" s="15">
        <f>IFERROR(INDEX(案類分類清單,MATCH([@案類],案類名稱清單,0)),"")</f>
        <v/>
      </c>
      <c r="U88" s="15">
        <f>IFERROR(INDEX(納入全般清單,MATCH([@案類],案類名稱清單,0)),"否")</f>
        <v/>
      </c>
      <c r="V88" s="15">
        <f>IFERROR([@歸屬年度]*10000+IFERROR(MATCH([@案件狀況],{"尚未偵破","已破獲未移送","已移送","簽結"},0),0)*100+ROW(),0)</f>
        <v/>
      </c>
      <c r="W88" s="227" t="n"/>
      <c r="X88" s="15">
        <f>IFERROR(IF([@績效類別]="","是","否"),"是")</f>
        <v/>
      </c>
      <c r="Y88" s="227" t="n"/>
    </row>
    <row r="89" ht="30" customHeight="1">
      <c r="A89" s="227" t="n"/>
      <c r="B89" s="227" t="n"/>
      <c r="C89" s="227" t="n"/>
      <c r="D89" s="228" t="n"/>
      <c r="E89" s="227" t="n"/>
      <c r="F89" s="228" t="n"/>
      <c r="G89" s="227" t="n"/>
      <c r="H89" s="227" t="n"/>
      <c r="I89" s="227" t="n"/>
      <c r="J89" s="227" t="n"/>
      <c r="K89" s="227" t="n"/>
      <c r="L89" s="227" t="n"/>
      <c r="M89" s="227" t="n"/>
      <c r="N89" s="227" t="n"/>
      <c r="O89" s="229" t="n"/>
      <c r="P89" s="230" t="n"/>
      <c r="Q89" s="227" t="n"/>
      <c r="R89" s="15">
        <f>IFERROR(IF(OR([@案件狀況]="已破獲未移送",[@案件狀況]="已移送"),"是","否"),"")</f>
        <v/>
      </c>
      <c r="S89" s="15">
        <f>IFERROR(IF([@發生時間]="","",YEAR([@發生時間])-1911),"")</f>
        <v/>
      </c>
      <c r="T89" s="15">
        <f>IFERROR(INDEX(案類分類清單,MATCH([@案類],案類名稱清單,0)),"")</f>
        <v/>
      </c>
      <c r="U89" s="15">
        <f>IFERROR(INDEX(納入全般清單,MATCH([@案類],案類名稱清單,0)),"否")</f>
        <v/>
      </c>
      <c r="V89" s="15">
        <f>IFERROR([@歸屬年度]*10000+IFERROR(MATCH([@案件狀況],{"尚未偵破","已破獲未移送","已移送","簽結"},0),0)*100+ROW(),0)</f>
        <v/>
      </c>
      <c r="W89" s="227" t="n"/>
      <c r="X89" s="15">
        <f>IFERROR(IF([@績效類別]="","是","否"),"是")</f>
        <v/>
      </c>
      <c r="Y89" s="227" t="n"/>
    </row>
    <row r="90" ht="30" customHeight="1">
      <c r="A90" s="227" t="n"/>
      <c r="B90" s="227" t="n"/>
      <c r="C90" s="227" t="n"/>
      <c r="D90" s="228" t="n"/>
      <c r="E90" s="227" t="n"/>
      <c r="F90" s="228" t="n"/>
      <c r="G90" s="227" t="n"/>
      <c r="H90" s="227" t="n"/>
      <c r="I90" s="227" t="n"/>
      <c r="J90" s="227" t="n"/>
      <c r="K90" s="227" t="n"/>
      <c r="L90" s="227" t="n"/>
      <c r="M90" s="227" t="n"/>
      <c r="N90" s="227" t="n"/>
      <c r="O90" s="229" t="n"/>
      <c r="P90" s="230" t="n"/>
      <c r="Q90" s="227" t="n"/>
      <c r="R90" s="15">
        <f>IFERROR(IF(OR([@案件狀況]="已破獲未移送",[@案件狀況]="已移送"),"是","否"),"")</f>
        <v/>
      </c>
      <c r="S90" s="15">
        <f>IFERROR(IF([@發生時間]="","",YEAR([@發生時間])-1911),"")</f>
        <v/>
      </c>
      <c r="T90" s="15">
        <f>IFERROR(INDEX(案類分類清單,MATCH([@案類],案類名稱清單,0)),"")</f>
        <v/>
      </c>
      <c r="U90" s="15">
        <f>IFERROR(INDEX(納入全般清單,MATCH([@案類],案類名稱清單,0)),"否")</f>
        <v/>
      </c>
      <c r="V90" s="15">
        <f>IFERROR([@歸屬年度]*10000+IFERROR(MATCH([@案件狀況],{"尚未偵破","已破獲未移送","已移送","簽結"},0),0)*100+ROW(),0)</f>
        <v/>
      </c>
      <c r="W90" s="227" t="n"/>
      <c r="X90" s="15">
        <f>IFERROR(IF([@績效類別]="","是","否"),"是")</f>
        <v/>
      </c>
      <c r="Y90" s="227" t="n"/>
    </row>
    <row r="91" ht="30" customHeight="1">
      <c r="A91" s="227" t="n"/>
      <c r="B91" s="227" t="n"/>
      <c r="C91" s="227" t="n"/>
      <c r="D91" s="228" t="n"/>
      <c r="E91" s="227" t="n"/>
      <c r="F91" s="228" t="n"/>
      <c r="G91" s="227" t="n"/>
      <c r="H91" s="227" t="n"/>
      <c r="I91" s="227" t="n"/>
      <c r="J91" s="227" t="n"/>
      <c r="K91" s="227" t="n"/>
      <c r="L91" s="227" t="n"/>
      <c r="M91" s="227" t="n"/>
      <c r="N91" s="227" t="n"/>
      <c r="O91" s="229" t="n"/>
      <c r="P91" s="230" t="n"/>
      <c r="Q91" s="227" t="n"/>
      <c r="R91" s="15">
        <f>IFERROR(IF(OR([@案件狀況]="已破獲未移送",[@案件狀況]="已移送"),"是","否"),"")</f>
        <v/>
      </c>
      <c r="S91" s="15">
        <f>IFERROR(IF([@發生時間]="","",YEAR([@發生時間])-1911),"")</f>
        <v/>
      </c>
      <c r="T91" s="15">
        <f>IFERROR(INDEX(案類分類清單,MATCH([@案類],案類名稱清單,0)),"")</f>
        <v/>
      </c>
      <c r="U91" s="15">
        <f>IFERROR(INDEX(納入全般清單,MATCH([@案類],案類名稱清單,0)),"否")</f>
        <v/>
      </c>
      <c r="V91" s="15">
        <f>IFERROR([@歸屬年度]*10000+IFERROR(MATCH([@案件狀況],{"尚未偵破","已破獲未移送","已移送","簽結"},0),0)*100+ROW(),0)</f>
        <v/>
      </c>
      <c r="W91" s="227" t="n"/>
      <c r="X91" s="15">
        <f>IFERROR(IF([@績效類別]="","是","否"),"是")</f>
        <v/>
      </c>
      <c r="Y91" s="227" t="n"/>
    </row>
    <row r="92" ht="30" customHeight="1">
      <c r="A92" s="227" t="n"/>
      <c r="B92" s="227" t="n"/>
      <c r="C92" s="227" t="n"/>
      <c r="D92" s="228" t="n"/>
      <c r="E92" s="227" t="n"/>
      <c r="F92" s="228" t="n"/>
      <c r="G92" s="227" t="n"/>
      <c r="H92" s="227" t="n"/>
      <c r="I92" s="227" t="n"/>
      <c r="J92" s="227" t="n"/>
      <c r="K92" s="227" t="n"/>
      <c r="L92" s="227" t="n"/>
      <c r="M92" s="227" t="n"/>
      <c r="N92" s="227" t="n"/>
      <c r="O92" s="229" t="n"/>
      <c r="P92" s="230" t="n"/>
      <c r="Q92" s="227" t="n"/>
      <c r="R92" s="15">
        <f>IFERROR(IF(OR([@案件狀況]="已破獲未移送",[@案件狀況]="已移送"),"是","否"),"")</f>
        <v/>
      </c>
      <c r="S92" s="15">
        <f>IFERROR(IF([@發生時間]="","",YEAR([@發生時間])-1911),"")</f>
        <v/>
      </c>
      <c r="T92" s="15">
        <f>IFERROR(INDEX(案類分類清單,MATCH([@案類],案類名稱清單,0)),"")</f>
        <v/>
      </c>
      <c r="U92" s="15">
        <f>IFERROR(INDEX(納入全般清單,MATCH([@案類],案類名稱清單,0)),"否")</f>
        <v/>
      </c>
      <c r="V92" s="15">
        <f>IFERROR([@歸屬年度]*10000+IFERROR(MATCH([@案件狀況],{"尚未偵破","已破獲未移送","已移送","簽結"},0),0)*100+ROW(),0)</f>
        <v/>
      </c>
      <c r="W92" s="227" t="n"/>
      <c r="X92" s="15">
        <f>IFERROR(IF([@績效類別]="","是","否"),"是")</f>
        <v/>
      </c>
      <c r="Y92" s="227" t="n"/>
    </row>
    <row r="93" ht="30" customHeight="1">
      <c r="A93" s="227" t="n"/>
      <c r="B93" s="227" t="n"/>
      <c r="C93" s="227" t="n"/>
      <c r="D93" s="228" t="n"/>
      <c r="E93" s="227" t="n"/>
      <c r="F93" s="228" t="n"/>
      <c r="G93" s="227" t="n"/>
      <c r="H93" s="227" t="n"/>
      <c r="I93" s="227" t="n"/>
      <c r="J93" s="227" t="n"/>
      <c r="K93" s="227" t="n"/>
      <c r="L93" s="227" t="n"/>
      <c r="M93" s="227" t="n"/>
      <c r="N93" s="227" t="n"/>
      <c r="O93" s="229" t="n"/>
      <c r="P93" s="230" t="n"/>
      <c r="Q93" s="227" t="n"/>
      <c r="R93" s="15">
        <f>IFERROR(IF(OR([@案件狀況]="已破獲未移送",[@案件狀況]="已移送"),"是","否"),"")</f>
        <v/>
      </c>
      <c r="S93" s="15">
        <f>IFERROR(IF([@發生時間]="","",YEAR([@發生時間])-1911),"")</f>
        <v/>
      </c>
      <c r="T93" s="15">
        <f>IFERROR(INDEX(案類分類清單,MATCH([@案類],案類名稱清單,0)),"")</f>
        <v/>
      </c>
      <c r="U93" s="15">
        <f>IFERROR(INDEX(納入全般清單,MATCH([@案類],案類名稱清單,0)),"否")</f>
        <v/>
      </c>
      <c r="V93" s="15">
        <f>IFERROR([@歸屬年度]*10000+IFERROR(MATCH([@案件狀況],{"尚未偵破","已破獲未移送","已移送","簽結"},0),0)*100+ROW(),0)</f>
        <v/>
      </c>
      <c r="W93" s="227" t="n"/>
      <c r="X93" s="15">
        <f>IFERROR(IF([@績效類別]="","是","否"),"是")</f>
        <v/>
      </c>
      <c r="Y93" s="227" t="n"/>
    </row>
    <row r="94" ht="30" customHeight="1">
      <c r="A94" s="227" t="n"/>
      <c r="B94" s="227" t="n"/>
      <c r="C94" s="227" t="n"/>
      <c r="D94" s="228" t="n"/>
      <c r="E94" s="227" t="n"/>
      <c r="F94" s="228" t="n"/>
      <c r="G94" s="227" t="n"/>
      <c r="H94" s="227" t="n"/>
      <c r="I94" s="227" t="n"/>
      <c r="J94" s="227" t="n"/>
      <c r="K94" s="227" t="n"/>
      <c r="L94" s="227" t="n"/>
      <c r="M94" s="227" t="n"/>
      <c r="N94" s="227" t="n"/>
      <c r="O94" s="229" t="n"/>
      <c r="P94" s="230" t="n"/>
      <c r="Q94" s="227" t="n"/>
      <c r="R94" s="15">
        <f>IFERROR(IF(OR([@案件狀況]="已破獲未移送",[@案件狀況]="已移送"),"是","否"),"")</f>
        <v/>
      </c>
      <c r="S94" s="15">
        <f>IFERROR(IF([@發生時間]="","",YEAR([@發生時間])-1911),"")</f>
        <v/>
      </c>
      <c r="T94" s="15">
        <f>IFERROR(INDEX(案類分類清單,MATCH([@案類],案類名稱清單,0)),"")</f>
        <v/>
      </c>
      <c r="U94" s="15">
        <f>IFERROR(INDEX(納入全般清單,MATCH([@案類],案類名稱清單,0)),"否")</f>
        <v/>
      </c>
      <c r="V94" s="15">
        <f>IFERROR([@歸屬年度]*10000+IFERROR(MATCH([@案件狀況],{"尚未偵破","已破獲未移送","已移送","簽結"},0),0)*100+ROW(),0)</f>
        <v/>
      </c>
      <c r="W94" s="227" t="n"/>
      <c r="X94" s="15">
        <f>IFERROR(IF([@績效類別]="","是","否"),"是")</f>
        <v/>
      </c>
      <c r="Y94" s="227" t="n"/>
    </row>
    <row r="95" ht="30" customHeight="1">
      <c r="A95" s="227" t="n"/>
      <c r="B95" s="227" t="n"/>
      <c r="C95" s="227" t="n"/>
      <c r="D95" s="228" t="n"/>
      <c r="E95" s="227" t="n"/>
      <c r="F95" s="228" t="n"/>
      <c r="G95" s="227" t="n"/>
      <c r="H95" s="227" t="n"/>
      <c r="I95" s="227" t="n"/>
      <c r="J95" s="227" t="n"/>
      <c r="K95" s="227" t="n"/>
      <c r="L95" s="227" t="n"/>
      <c r="M95" s="227" t="n"/>
      <c r="N95" s="227" t="n"/>
      <c r="O95" s="229" t="n"/>
      <c r="P95" s="230" t="n"/>
      <c r="Q95" s="227" t="n"/>
      <c r="R95" s="15">
        <f>IFERROR(IF(OR([@案件狀況]="已破獲未移送",[@案件狀況]="已移送"),"是","否"),"")</f>
        <v/>
      </c>
      <c r="S95" s="15">
        <f>IFERROR(IF([@發生時間]="","",YEAR([@發生時間])-1911),"")</f>
        <v/>
      </c>
      <c r="T95" s="15">
        <f>IFERROR(INDEX(案類分類清單,MATCH([@案類],案類名稱清單,0)),"")</f>
        <v/>
      </c>
      <c r="U95" s="15">
        <f>IFERROR(INDEX(納入全般清單,MATCH([@案類],案類名稱清單,0)),"否")</f>
        <v/>
      </c>
      <c r="V95" s="15">
        <f>IFERROR([@歸屬年度]*10000+IFERROR(MATCH([@案件狀況],{"尚未偵破","已破獲未移送","已移送","簽結"},0),0)*100+ROW(),0)</f>
        <v/>
      </c>
      <c r="W95" s="227" t="n"/>
      <c r="X95" s="15">
        <f>IFERROR(IF([@績效類別]="","是","否"),"是")</f>
        <v/>
      </c>
      <c r="Y95" s="227" t="n"/>
    </row>
    <row r="96" ht="30" customHeight="1">
      <c r="A96" s="227" t="n"/>
      <c r="B96" s="227" t="n"/>
      <c r="C96" s="227" t="n"/>
      <c r="D96" s="228" t="n"/>
      <c r="E96" s="227" t="n"/>
      <c r="F96" s="228" t="n"/>
      <c r="G96" s="227" t="n"/>
      <c r="H96" s="227" t="n"/>
      <c r="I96" s="227" t="n"/>
      <c r="J96" s="227" t="n"/>
      <c r="K96" s="227" t="n"/>
      <c r="L96" s="227" t="n"/>
      <c r="M96" s="227" t="n"/>
      <c r="N96" s="227" t="n"/>
      <c r="O96" s="229" t="n"/>
      <c r="P96" s="230" t="n"/>
      <c r="Q96" s="227" t="n"/>
      <c r="R96" s="15">
        <f>IFERROR(IF(OR([@案件狀況]="已破獲未移送",[@案件狀況]="已移送"),"是","否"),"")</f>
        <v/>
      </c>
      <c r="S96" s="15">
        <f>IFERROR(IF([@發生時間]="","",YEAR([@發生時間])-1911),"")</f>
        <v/>
      </c>
      <c r="T96" s="15">
        <f>IFERROR(INDEX(案類分類清單,MATCH([@案類],案類名稱清單,0)),"")</f>
        <v/>
      </c>
      <c r="U96" s="15">
        <f>IFERROR(INDEX(納入全般清單,MATCH([@案類],案類名稱清單,0)),"否")</f>
        <v/>
      </c>
      <c r="V96" s="15">
        <f>IFERROR([@歸屬年度]*10000+IFERROR(MATCH([@案件狀況],{"尚未偵破","已破獲未移送","已移送","簽結"},0),0)*100+ROW(),0)</f>
        <v/>
      </c>
      <c r="W96" s="227" t="n"/>
      <c r="X96" s="15">
        <f>IFERROR(IF([@績效類別]="","是","否"),"是")</f>
        <v/>
      </c>
      <c r="Y96" s="227" t="n"/>
    </row>
    <row r="97" ht="30" customHeight="1">
      <c r="A97" s="227" t="n"/>
      <c r="B97" s="227" t="n"/>
      <c r="C97" s="227" t="n"/>
      <c r="D97" s="228" t="n"/>
      <c r="E97" s="227" t="n"/>
      <c r="F97" s="228" t="n"/>
      <c r="G97" s="227" t="n"/>
      <c r="H97" s="227" t="n"/>
      <c r="I97" s="227" t="n"/>
      <c r="J97" s="227" t="n"/>
      <c r="K97" s="227" t="n"/>
      <c r="L97" s="227" t="n"/>
      <c r="M97" s="227" t="n"/>
      <c r="N97" s="227" t="n"/>
      <c r="O97" s="229" t="n"/>
      <c r="P97" s="230" t="n"/>
      <c r="Q97" s="227" t="n"/>
      <c r="R97" s="15">
        <f>IFERROR(IF(OR([@案件狀況]="已破獲未移送",[@案件狀況]="已移送"),"是","否"),"")</f>
        <v/>
      </c>
      <c r="S97" s="15">
        <f>IFERROR(IF([@發生時間]="","",YEAR([@發生時間])-1911),"")</f>
        <v/>
      </c>
      <c r="T97" s="15">
        <f>IFERROR(INDEX(案類分類清單,MATCH([@案類],案類名稱清單,0)),"")</f>
        <v/>
      </c>
      <c r="U97" s="15">
        <f>IFERROR(INDEX(納入全般清單,MATCH([@案類],案類名稱清單,0)),"否")</f>
        <v/>
      </c>
      <c r="V97" s="15">
        <f>IFERROR([@歸屬年度]*10000+IFERROR(MATCH([@案件狀況],{"尚未偵破","已破獲未移送","已移送","簽結"},0),0)*100+ROW(),0)</f>
        <v/>
      </c>
      <c r="W97" s="227" t="n"/>
      <c r="X97" s="15">
        <f>IFERROR(IF([@績效類別]="","是","否"),"是")</f>
        <v/>
      </c>
      <c r="Y97" s="227" t="n"/>
    </row>
    <row r="98" ht="30" customHeight="1">
      <c r="A98" s="227" t="n"/>
      <c r="B98" s="227" t="n"/>
      <c r="C98" s="227" t="n"/>
      <c r="D98" s="228" t="n"/>
      <c r="E98" s="227" t="n"/>
      <c r="F98" s="228" t="n"/>
      <c r="G98" s="227" t="n"/>
      <c r="H98" s="227" t="n"/>
      <c r="I98" s="227" t="n"/>
      <c r="J98" s="227" t="n"/>
      <c r="K98" s="227" t="n"/>
      <c r="L98" s="227" t="n"/>
      <c r="M98" s="227" t="n"/>
      <c r="N98" s="227" t="n"/>
      <c r="O98" s="229" t="n"/>
      <c r="P98" s="230" t="n"/>
      <c r="Q98" s="227" t="n"/>
      <c r="R98" s="15">
        <f>IFERROR(IF(OR([@案件狀況]="已破獲未移送",[@案件狀況]="已移送"),"是","否"),"")</f>
        <v/>
      </c>
      <c r="S98" s="15">
        <f>IFERROR(IF([@發生時間]="","",YEAR([@發生時間])-1911),"")</f>
        <v/>
      </c>
      <c r="T98" s="15">
        <f>IFERROR(INDEX(案類分類清單,MATCH([@案類],案類名稱清單,0)),"")</f>
        <v/>
      </c>
      <c r="U98" s="15">
        <f>IFERROR(INDEX(納入全般清單,MATCH([@案類],案類名稱清單,0)),"否")</f>
        <v/>
      </c>
      <c r="V98" s="15">
        <f>IFERROR([@歸屬年度]*10000+IFERROR(MATCH([@案件狀況],{"尚未偵破","已破獲未移送","已移送","簽結"},0),0)*100+ROW(),0)</f>
        <v/>
      </c>
      <c r="W98" s="227" t="n"/>
      <c r="X98" s="15">
        <f>IFERROR(IF([@績效類別]="","是","否"),"是")</f>
        <v/>
      </c>
      <c r="Y98" s="227" t="n"/>
    </row>
    <row r="99" ht="30" customHeight="1">
      <c r="A99" s="227" t="n"/>
      <c r="B99" s="227" t="n"/>
      <c r="C99" s="227" t="n"/>
      <c r="D99" s="228" t="n"/>
      <c r="E99" s="227" t="n"/>
      <c r="F99" s="228" t="n"/>
      <c r="G99" s="227" t="n"/>
      <c r="H99" s="227" t="n"/>
      <c r="I99" s="227" t="n"/>
      <c r="J99" s="227" t="n"/>
      <c r="K99" s="227" t="n"/>
      <c r="L99" s="227" t="n"/>
      <c r="M99" s="227" t="n"/>
      <c r="N99" s="227" t="n"/>
      <c r="O99" s="229" t="n"/>
      <c r="P99" s="230" t="n"/>
      <c r="Q99" s="227" t="n"/>
      <c r="R99" s="15">
        <f>IFERROR(IF(OR([@案件狀況]="已破獲未移送",[@案件狀況]="已移送"),"是","否"),"")</f>
        <v/>
      </c>
      <c r="S99" s="15">
        <f>IFERROR(IF([@發生時間]="","",YEAR([@發生時間])-1911),"")</f>
        <v/>
      </c>
      <c r="T99" s="15">
        <f>IFERROR(INDEX(案類分類清單,MATCH([@案類],案類名稱清單,0)),"")</f>
        <v/>
      </c>
      <c r="U99" s="15">
        <f>IFERROR(INDEX(納入全般清單,MATCH([@案類],案類名稱清單,0)),"否")</f>
        <v/>
      </c>
      <c r="V99" s="15">
        <f>IFERROR([@歸屬年度]*10000+IFERROR(MATCH([@案件狀況],{"尚未偵破","已破獲未移送","已移送","簽結"},0),0)*100+ROW(),0)</f>
        <v/>
      </c>
      <c r="W99" s="227" t="n"/>
      <c r="X99" s="15">
        <f>IFERROR(IF([@績效類別]="","是","否"),"是")</f>
        <v/>
      </c>
      <c r="Y99" s="227" t="n"/>
    </row>
    <row r="100" ht="30" customHeight="1">
      <c r="A100" s="227" t="n"/>
      <c r="B100" s="227" t="n"/>
      <c r="C100" s="227" t="n"/>
      <c r="D100" s="228" t="n"/>
      <c r="E100" s="227" t="n"/>
      <c r="F100" s="228" t="n"/>
      <c r="G100" s="227" t="n"/>
      <c r="H100" s="227" t="n"/>
      <c r="I100" s="227" t="n"/>
      <c r="J100" s="227" t="n"/>
      <c r="K100" s="227" t="n"/>
      <c r="L100" s="227" t="n"/>
      <c r="M100" s="227" t="n"/>
      <c r="N100" s="227" t="n"/>
      <c r="O100" s="229" t="n"/>
      <c r="P100" s="230" t="n"/>
      <c r="Q100" s="227" t="n"/>
      <c r="R100" s="15">
        <f>IFERROR(IF(OR([@案件狀況]="已破獲未移送",[@案件狀況]="已移送"),"是","否"),"")</f>
        <v/>
      </c>
      <c r="S100" s="15">
        <f>IFERROR(IF([@發生時間]="","",YEAR([@發生時間])-1911),"")</f>
        <v/>
      </c>
      <c r="T100" s="15">
        <f>IFERROR(INDEX(案類分類清單,MATCH([@案類],案類名稱清單,0)),"")</f>
        <v/>
      </c>
      <c r="U100" s="15">
        <f>IFERROR(INDEX(納入全般清單,MATCH([@案類],案類名稱清單,0)),"否")</f>
        <v/>
      </c>
      <c r="V100" s="15">
        <f>IFERROR([@歸屬年度]*10000+IFERROR(MATCH([@案件狀況],{"尚未偵破","已破獲未移送","已移送","簽結"},0),0)*100+ROW(),0)</f>
        <v/>
      </c>
      <c r="W100" s="227" t="n"/>
      <c r="X100" s="15">
        <f>IFERROR(IF([@績效類別]="","是","否"),"是")</f>
        <v/>
      </c>
      <c r="Y100" s="227" t="n"/>
    </row>
    <row r="101" ht="30" customHeight="1">
      <c r="A101" s="227" t="n"/>
      <c r="B101" s="227" t="n"/>
      <c r="C101" s="227" t="n"/>
      <c r="D101" s="228" t="n"/>
      <c r="E101" s="227" t="n"/>
      <c r="F101" s="228" t="n"/>
      <c r="G101" s="227" t="n"/>
      <c r="H101" s="227" t="n"/>
      <c r="I101" s="227" t="n"/>
      <c r="J101" s="227" t="n"/>
      <c r="K101" s="227" t="n"/>
      <c r="L101" s="227" t="n"/>
      <c r="M101" s="227" t="n"/>
      <c r="N101" s="227" t="n"/>
      <c r="O101" s="229" t="n"/>
      <c r="P101" s="230" t="n"/>
      <c r="Q101" s="227" t="n"/>
      <c r="R101" s="15">
        <f>IFERROR(IF(OR([@案件狀況]="已破獲未移送",[@案件狀況]="已移送"),"是","否"),"")</f>
        <v/>
      </c>
      <c r="S101" s="15">
        <f>IFERROR(IF([@發生時間]="","",YEAR([@發生時間])-1911),"")</f>
        <v/>
      </c>
      <c r="T101" s="15">
        <f>IFERROR(INDEX(案類分類清單,MATCH([@案類],案類名稱清單,0)),"")</f>
        <v/>
      </c>
      <c r="U101" s="15">
        <f>IFERROR(INDEX(納入全般清單,MATCH([@案類],案類名稱清單,0)),"否")</f>
        <v/>
      </c>
      <c r="V101" s="15">
        <f>IFERROR([@歸屬年度]*10000+IFERROR(MATCH([@案件狀況],{"尚未偵破","已破獲未移送","已移送","簽結"},0),0)*100+ROW(),0)</f>
        <v/>
      </c>
      <c r="W101" s="227" t="n"/>
      <c r="X101" s="15">
        <f>IFERROR(IF([@績效類別]="","是","否"),"是")</f>
        <v/>
      </c>
      <c r="Y101" s="227" t="n"/>
    </row>
    <row r="102" ht="30" customHeight="1">
      <c r="A102" s="227" t="n"/>
      <c r="B102" s="227" t="n"/>
      <c r="C102" s="227" t="n"/>
      <c r="D102" s="228" t="n"/>
      <c r="E102" s="227" t="n"/>
      <c r="F102" s="228" t="n"/>
      <c r="G102" s="227" t="n"/>
      <c r="H102" s="227" t="n"/>
      <c r="I102" s="227" t="n"/>
      <c r="J102" s="227" t="n"/>
      <c r="K102" s="227" t="n"/>
      <c r="L102" s="227" t="n"/>
      <c r="M102" s="227" t="n"/>
      <c r="N102" s="227" t="n"/>
      <c r="O102" s="229" t="n"/>
      <c r="P102" s="230" t="n"/>
      <c r="Q102" s="227" t="n"/>
      <c r="R102" s="15">
        <f>IFERROR(IF(OR([@案件狀況]="已破獲未移送",[@案件狀況]="已移送"),"是","否"),"")</f>
        <v/>
      </c>
      <c r="S102" s="15">
        <f>IFERROR(IF([@發生時間]="","",YEAR([@發生時間])-1911),"")</f>
        <v/>
      </c>
      <c r="T102" s="15">
        <f>IFERROR(INDEX(案類分類清單,MATCH([@案類],案類名稱清單,0)),"")</f>
        <v/>
      </c>
      <c r="U102" s="15">
        <f>IFERROR(INDEX(納入全般清單,MATCH([@案類],案類名稱清單,0)),"否")</f>
        <v/>
      </c>
      <c r="V102" s="15">
        <f>IFERROR([@歸屬年度]*10000+IFERROR(MATCH([@案件狀況],{"尚未偵破","已破獲未移送","已移送","簽結"},0),0)*100+ROW(),0)</f>
        <v/>
      </c>
      <c r="W102" s="227" t="n"/>
      <c r="X102" s="15">
        <f>IFERROR(IF([@績效類別]="","是","否"),"是")</f>
        <v/>
      </c>
      <c r="Y102" s="227" t="n"/>
    </row>
    <row r="103" ht="30" customHeight="1">
      <c r="A103" s="227" t="n"/>
      <c r="B103" s="227" t="n"/>
      <c r="C103" s="227" t="n"/>
      <c r="D103" s="228" t="n"/>
      <c r="E103" s="227" t="n"/>
      <c r="F103" s="228" t="n"/>
      <c r="G103" s="227" t="n"/>
      <c r="H103" s="227" t="n"/>
      <c r="I103" s="227" t="n"/>
      <c r="J103" s="227" t="n"/>
      <c r="K103" s="227" t="n"/>
      <c r="L103" s="227" t="n"/>
      <c r="M103" s="227" t="n"/>
      <c r="N103" s="227" t="n"/>
      <c r="O103" s="229" t="n"/>
      <c r="P103" s="230" t="n"/>
      <c r="Q103" s="227" t="n"/>
      <c r="R103" s="15">
        <f>IFERROR(IF(OR([@案件狀況]="已破獲未移送",[@案件狀況]="已移送"),"是","否"),"")</f>
        <v/>
      </c>
      <c r="S103" s="15">
        <f>IFERROR(IF([@發生時間]="","",YEAR([@發生時間])-1911),"")</f>
        <v/>
      </c>
      <c r="T103" s="15">
        <f>IFERROR(INDEX(案類分類清單,MATCH([@案類],案類名稱清單,0)),"")</f>
        <v/>
      </c>
      <c r="U103" s="15">
        <f>IFERROR(INDEX(納入全般清單,MATCH([@案類],案類名稱清單,0)),"否")</f>
        <v/>
      </c>
      <c r="V103" s="15">
        <f>IFERROR([@歸屬年度]*10000+IFERROR(MATCH([@案件狀況],{"尚未偵破","已破獲未移送","已移送","簽結"},0),0)*100+ROW(),0)</f>
        <v/>
      </c>
      <c r="W103" s="227" t="n"/>
      <c r="X103" s="15">
        <f>IFERROR(IF([@績效類別]="","是","否"),"是")</f>
        <v/>
      </c>
      <c r="Y103" s="227" t="n"/>
    </row>
    <row r="104" ht="30" customHeight="1">
      <c r="A104" s="227" t="n"/>
      <c r="B104" s="227" t="n"/>
      <c r="C104" s="227" t="n"/>
      <c r="D104" s="228" t="n"/>
      <c r="E104" s="227" t="n"/>
      <c r="F104" s="228" t="n"/>
      <c r="G104" s="227" t="n"/>
      <c r="H104" s="227" t="n"/>
      <c r="I104" s="227" t="n"/>
      <c r="J104" s="227" t="n"/>
      <c r="K104" s="227" t="n"/>
      <c r="L104" s="227" t="n"/>
      <c r="M104" s="227" t="n"/>
      <c r="N104" s="227" t="n"/>
      <c r="O104" s="229" t="n"/>
      <c r="P104" s="230" t="n"/>
      <c r="Q104" s="227" t="n"/>
      <c r="R104" s="15">
        <f>IFERROR(IF(OR([@案件狀況]="已破獲未移送",[@案件狀況]="已移送"),"是","否"),"")</f>
        <v/>
      </c>
      <c r="S104" s="15">
        <f>IFERROR(IF([@發生時間]="","",YEAR([@發生時間])-1911),"")</f>
        <v/>
      </c>
      <c r="T104" s="15">
        <f>IFERROR(INDEX(案類分類清單,MATCH([@案類],案類名稱清單,0)),"")</f>
        <v/>
      </c>
      <c r="U104" s="15">
        <f>IFERROR(INDEX(納入全般清單,MATCH([@案類],案類名稱清單,0)),"否")</f>
        <v/>
      </c>
      <c r="V104" s="15">
        <f>IFERROR([@歸屬年度]*10000+IFERROR(MATCH([@案件狀況],{"尚未偵破","已破獲未移送","已移送","簽結"},0),0)*100+ROW(),0)</f>
        <v/>
      </c>
      <c r="W104" s="227" t="n"/>
      <c r="X104" s="15">
        <f>IFERROR(IF([@績效類別]="","是","否"),"是")</f>
        <v/>
      </c>
      <c r="Y104" s="227" t="n"/>
    </row>
    <row r="105" ht="30" customHeight="1">
      <c r="A105" s="227" t="n"/>
      <c r="B105" s="227" t="n"/>
      <c r="C105" s="227" t="n"/>
      <c r="D105" s="228" t="n"/>
      <c r="E105" s="227" t="n"/>
      <c r="F105" s="228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  <c r="O105" s="229" t="n"/>
      <c r="P105" s="230" t="n"/>
      <c r="Q105" s="227" t="n"/>
      <c r="R105" s="15">
        <f>IFERROR(IF(OR([@案件狀況]="已破獲未移送",[@案件狀況]="已移送"),"是","否"),"")</f>
        <v/>
      </c>
      <c r="S105" s="15">
        <f>IFERROR(IF([@發生時間]="","",YEAR([@發生時間])-1911),"")</f>
        <v/>
      </c>
      <c r="T105" s="15">
        <f>IFERROR(INDEX(案類分類清單,MATCH([@案類],案類名稱清單,0)),"")</f>
        <v/>
      </c>
      <c r="U105" s="15">
        <f>IFERROR(INDEX(納入全般清單,MATCH([@案類],案類名稱清單,0)),"否")</f>
        <v/>
      </c>
      <c r="V105" s="15">
        <f>IFERROR([@歸屬年度]*10000+IFERROR(MATCH([@案件狀況],{"尚未偵破","已破獲未移送","已移送","簽結"},0),0)*100+ROW(),0)</f>
        <v/>
      </c>
      <c r="W105" s="227" t="n"/>
      <c r="X105" s="15">
        <f>IFERROR(IF([@績效類別]="","是","否"),"是")</f>
        <v/>
      </c>
      <c r="Y105" s="227" t="n"/>
    </row>
    <row r="106" ht="30" customHeight="1">
      <c r="A106" s="227" t="n"/>
      <c r="B106" s="227" t="n"/>
      <c r="C106" s="227" t="n"/>
      <c r="D106" s="228" t="n"/>
      <c r="E106" s="227" t="n"/>
      <c r="F106" s="228" t="n"/>
      <c r="G106" s="227" t="n"/>
      <c r="H106" s="227" t="n"/>
      <c r="I106" s="227" t="n"/>
      <c r="J106" s="227" t="n"/>
      <c r="K106" s="227" t="n"/>
      <c r="L106" s="227" t="n"/>
      <c r="M106" s="227" t="n"/>
      <c r="N106" s="227" t="n"/>
      <c r="O106" s="229" t="n"/>
      <c r="P106" s="230" t="n"/>
      <c r="Q106" s="227" t="n"/>
      <c r="R106" s="15">
        <f>IFERROR(IF(OR([@案件狀況]="已破獲未移送",[@案件狀況]="已移送"),"是","否"),"")</f>
        <v/>
      </c>
      <c r="S106" s="15">
        <f>IFERROR(IF([@發生時間]="","",YEAR([@發生時間])-1911),"")</f>
        <v/>
      </c>
      <c r="T106" s="15">
        <f>IFERROR(INDEX(案類分類清單,MATCH([@案類],案類名稱清單,0)),"")</f>
        <v/>
      </c>
      <c r="U106" s="15">
        <f>IFERROR(INDEX(納入全般清單,MATCH([@案類],案類名稱清單,0)),"否")</f>
        <v/>
      </c>
      <c r="V106" s="15">
        <f>IFERROR([@歸屬年度]*10000+IFERROR(MATCH([@案件狀況],{"尚未偵破","已破獲未移送","已移送","簽結"},0),0)*100+ROW(),0)</f>
        <v/>
      </c>
      <c r="W106" s="227" t="n"/>
      <c r="X106" s="15">
        <f>IFERROR(IF([@績效類別]="","是","否"),"是")</f>
        <v/>
      </c>
      <c r="Y106" s="227" t="n"/>
    </row>
    <row r="107" ht="30" customHeight="1">
      <c r="A107" s="227" t="n"/>
      <c r="B107" s="227" t="n"/>
      <c r="C107" s="227" t="n"/>
      <c r="D107" s="228" t="n"/>
      <c r="E107" s="227" t="n"/>
      <c r="F107" s="228" t="n"/>
      <c r="G107" s="227" t="n"/>
      <c r="H107" s="227" t="n"/>
      <c r="I107" s="227" t="n"/>
      <c r="J107" s="227" t="n"/>
      <c r="K107" s="227" t="n"/>
      <c r="L107" s="227" t="n"/>
      <c r="M107" s="227" t="n"/>
      <c r="N107" s="227" t="n"/>
      <c r="O107" s="229" t="n"/>
      <c r="P107" s="230" t="n"/>
      <c r="Q107" s="227" t="n"/>
      <c r="R107" s="15">
        <f>IFERROR(IF(OR([@案件狀況]="已破獲未移送",[@案件狀況]="已移送"),"是","否"),"")</f>
        <v/>
      </c>
      <c r="S107" s="15">
        <f>IFERROR(IF([@發生時間]="","",YEAR([@發生時間])-1911),"")</f>
        <v/>
      </c>
      <c r="T107" s="15">
        <f>IFERROR(INDEX(案類分類清單,MATCH([@案類],案類名稱清單,0)),"")</f>
        <v/>
      </c>
      <c r="U107" s="15">
        <f>IFERROR(INDEX(納入全般清單,MATCH([@案類],案類名稱清單,0)),"否")</f>
        <v/>
      </c>
      <c r="V107" s="15">
        <f>IFERROR([@歸屬年度]*10000+IFERROR(MATCH([@案件狀況],{"尚未偵破","已破獲未移送","已移送","簽結"},0),0)*100+ROW(),0)</f>
        <v/>
      </c>
      <c r="W107" s="227" t="n"/>
      <c r="X107" s="15">
        <f>IFERROR(IF([@績效類別]="","是","否"),"是")</f>
        <v/>
      </c>
      <c r="Y107" s="227" t="n"/>
    </row>
    <row r="108" ht="30" customHeight="1">
      <c r="A108" s="227" t="n"/>
      <c r="B108" s="227" t="n"/>
      <c r="C108" s="227" t="n"/>
      <c r="D108" s="228" t="n"/>
      <c r="E108" s="227" t="n"/>
      <c r="F108" s="228" t="n"/>
      <c r="G108" s="227" t="n"/>
      <c r="H108" s="227" t="n"/>
      <c r="I108" s="227" t="n"/>
      <c r="J108" s="227" t="n"/>
      <c r="K108" s="227" t="n"/>
      <c r="L108" s="227" t="n"/>
      <c r="M108" s="227" t="n"/>
      <c r="N108" s="227" t="n"/>
      <c r="O108" s="229" t="n"/>
      <c r="P108" s="230" t="n"/>
      <c r="Q108" s="227" t="n"/>
      <c r="R108" s="15">
        <f>IFERROR(IF(OR([@案件狀況]="已破獲未移送",[@案件狀況]="已移送"),"是","否"),"")</f>
        <v/>
      </c>
      <c r="S108" s="15">
        <f>IFERROR(IF([@發生時間]="","",YEAR([@發生時間])-1911),"")</f>
        <v/>
      </c>
      <c r="T108" s="15">
        <f>IFERROR(INDEX(案類分類清單,MATCH([@案類],案類名稱清單,0)),"")</f>
        <v/>
      </c>
      <c r="U108" s="15">
        <f>IFERROR(INDEX(納入全般清單,MATCH([@案類],案類名稱清單,0)),"否")</f>
        <v/>
      </c>
      <c r="V108" s="15">
        <f>IFERROR([@歸屬年度]*10000+IFERROR(MATCH([@案件狀況],{"尚未偵破","已破獲未移送","已移送","簽結"},0),0)*100+ROW(),0)</f>
        <v/>
      </c>
      <c r="W108" s="227" t="n"/>
      <c r="X108" s="15">
        <f>IFERROR(IF([@績效類別]="","是","否"),"是")</f>
        <v/>
      </c>
      <c r="Y108" s="227" t="n"/>
    </row>
    <row r="109" ht="30" customHeight="1">
      <c r="A109" s="227" t="n"/>
      <c r="B109" s="227" t="n"/>
      <c r="C109" s="227" t="n"/>
      <c r="D109" s="228" t="n"/>
      <c r="E109" s="227" t="n"/>
      <c r="F109" s="228" t="n"/>
      <c r="G109" s="227" t="n"/>
      <c r="H109" s="227" t="n"/>
      <c r="I109" s="227" t="n"/>
      <c r="J109" s="227" t="n"/>
      <c r="K109" s="227" t="n"/>
      <c r="L109" s="227" t="n"/>
      <c r="M109" s="227" t="n"/>
      <c r="N109" s="227" t="n"/>
      <c r="O109" s="229" t="n"/>
      <c r="P109" s="230" t="n"/>
      <c r="Q109" s="227" t="n"/>
      <c r="R109" s="15">
        <f>IFERROR(IF(OR([@案件狀況]="已破獲未移送",[@案件狀況]="已移送"),"是","否"),"")</f>
        <v/>
      </c>
      <c r="S109" s="15">
        <f>IFERROR(IF([@發生時間]="","",YEAR([@發生時間])-1911),"")</f>
        <v/>
      </c>
      <c r="T109" s="15">
        <f>IFERROR(INDEX(案類分類清單,MATCH([@案類],案類名稱清單,0)),"")</f>
        <v/>
      </c>
      <c r="U109" s="15">
        <f>IFERROR(INDEX(納入全般清單,MATCH([@案類],案類名稱清單,0)),"否")</f>
        <v/>
      </c>
      <c r="V109" s="15">
        <f>IFERROR([@歸屬年度]*10000+IFERROR(MATCH([@案件狀況],{"尚未偵破","已破獲未移送","已移送","簽結"},0),0)*100+ROW(),0)</f>
        <v/>
      </c>
      <c r="W109" s="227" t="n"/>
      <c r="X109" s="15">
        <f>IFERROR(IF([@績效類別]="","是","否"),"是")</f>
        <v/>
      </c>
      <c r="Y109" s="227" t="n"/>
    </row>
    <row r="110" ht="30" customHeight="1">
      <c r="A110" s="227" t="n"/>
      <c r="B110" s="227" t="n"/>
      <c r="C110" s="227" t="n"/>
      <c r="D110" s="228" t="n"/>
      <c r="E110" s="227" t="n"/>
      <c r="F110" s="228" t="n"/>
      <c r="G110" s="227" t="n"/>
      <c r="H110" s="227" t="n"/>
      <c r="I110" s="227" t="n"/>
      <c r="J110" s="227" t="n"/>
      <c r="K110" s="227" t="n"/>
      <c r="L110" s="227" t="n"/>
      <c r="M110" s="227" t="n"/>
      <c r="N110" s="227" t="n"/>
      <c r="O110" s="229" t="n"/>
      <c r="P110" s="230" t="n"/>
      <c r="Q110" s="227" t="n"/>
      <c r="R110" s="15">
        <f>IFERROR(IF(OR([@案件狀況]="已破獲未移送",[@案件狀況]="已移送"),"是","否"),"")</f>
        <v/>
      </c>
      <c r="S110" s="15">
        <f>IFERROR(IF([@發生時間]="","",YEAR([@發生時間])-1911),"")</f>
        <v/>
      </c>
      <c r="T110" s="15">
        <f>IFERROR(INDEX(案類分類清單,MATCH([@案類],案類名稱清單,0)),"")</f>
        <v/>
      </c>
      <c r="U110" s="15">
        <f>IFERROR(INDEX(納入全般清單,MATCH([@案類],案類名稱清單,0)),"否")</f>
        <v/>
      </c>
      <c r="V110" s="15">
        <f>IFERROR([@歸屬年度]*10000+IFERROR(MATCH([@案件狀況],{"尚未偵破","已破獲未移送","已移送","簽結"},0),0)*100+ROW(),0)</f>
        <v/>
      </c>
      <c r="W110" s="227" t="n"/>
      <c r="X110" s="15">
        <f>IFERROR(IF([@績效類別]="","是","否"),"是")</f>
        <v/>
      </c>
      <c r="Y110" s="227" t="n"/>
    </row>
    <row r="111" ht="30" customHeight="1">
      <c r="A111" s="227" t="n"/>
      <c r="B111" s="227" t="n"/>
      <c r="C111" s="227" t="n"/>
      <c r="D111" s="228" t="n"/>
      <c r="E111" s="227" t="n"/>
      <c r="F111" s="228" t="n"/>
      <c r="G111" s="227" t="n"/>
      <c r="H111" s="227" t="n"/>
      <c r="I111" s="227" t="n"/>
      <c r="J111" s="227" t="n"/>
      <c r="K111" s="227" t="n"/>
      <c r="L111" s="227" t="n"/>
      <c r="M111" s="227" t="n"/>
      <c r="N111" s="227" t="n"/>
      <c r="O111" s="229" t="n"/>
      <c r="P111" s="230" t="n"/>
      <c r="Q111" s="227" t="n"/>
      <c r="R111" s="15">
        <f>IFERROR(IF(OR([@案件狀況]="已破獲未移送",[@案件狀況]="已移送"),"是","否"),"")</f>
        <v/>
      </c>
      <c r="S111" s="15">
        <f>IFERROR(IF([@發生時間]="","",YEAR([@發生時間])-1911),"")</f>
        <v/>
      </c>
      <c r="T111" s="15">
        <f>IFERROR(INDEX(案類分類清單,MATCH([@案類],案類名稱清單,0)),"")</f>
        <v/>
      </c>
      <c r="U111" s="15">
        <f>IFERROR(INDEX(納入全般清單,MATCH([@案類],案類名稱清單,0)),"否")</f>
        <v/>
      </c>
      <c r="V111" s="15">
        <f>IFERROR([@歸屬年度]*10000+IFERROR(MATCH([@案件狀況],{"尚未偵破","已破獲未移送","已移送","簽結"},0),0)*100+ROW(),0)</f>
        <v/>
      </c>
      <c r="W111" s="227" t="n"/>
      <c r="X111" s="15">
        <f>IFERROR(IF([@績效類別]="","是","否"),"是")</f>
        <v/>
      </c>
      <c r="Y111" s="227" t="n"/>
    </row>
    <row r="112" ht="30" customHeight="1">
      <c r="A112" s="227" t="n"/>
      <c r="B112" s="227" t="n"/>
      <c r="C112" s="227" t="n"/>
      <c r="D112" s="228" t="n"/>
      <c r="E112" s="227" t="n"/>
      <c r="F112" s="228" t="n"/>
      <c r="G112" s="227" t="n"/>
      <c r="H112" s="227" t="n"/>
      <c r="I112" s="227" t="n"/>
      <c r="J112" s="227" t="n"/>
      <c r="K112" s="227" t="n"/>
      <c r="L112" s="227" t="n"/>
      <c r="M112" s="227" t="n"/>
      <c r="N112" s="227" t="n"/>
      <c r="O112" s="229" t="n"/>
      <c r="P112" s="230" t="n"/>
      <c r="Q112" s="227" t="n"/>
      <c r="R112" s="15">
        <f>IFERROR(IF(OR([@案件狀況]="已破獲未移送",[@案件狀況]="已移送"),"是","否"),"")</f>
        <v/>
      </c>
      <c r="S112" s="15">
        <f>IFERROR(IF([@發生時間]="","",YEAR([@發生時間])-1911),"")</f>
        <v/>
      </c>
      <c r="T112" s="15">
        <f>IFERROR(INDEX(案類分類清單,MATCH([@案類],案類名稱清單,0)),"")</f>
        <v/>
      </c>
      <c r="U112" s="15">
        <f>IFERROR(INDEX(納入全般清單,MATCH([@案類],案類名稱清單,0)),"否")</f>
        <v/>
      </c>
      <c r="V112" s="15">
        <f>IFERROR([@歸屬年度]*10000+IFERROR(MATCH([@案件狀況],{"尚未偵破","已破獲未移送","已移送","簽結"},0),0)*100+ROW(),0)</f>
        <v/>
      </c>
      <c r="W112" s="227" t="n"/>
      <c r="X112" s="15">
        <f>IFERROR(IF([@績效類別]="","是","否"),"是")</f>
        <v/>
      </c>
      <c r="Y112" s="227" t="n"/>
    </row>
    <row r="113" ht="30" customHeight="1">
      <c r="A113" s="227" t="n"/>
      <c r="B113" s="227" t="n"/>
      <c r="C113" s="227" t="n"/>
      <c r="D113" s="228" t="n"/>
      <c r="E113" s="227" t="n"/>
      <c r="F113" s="228" t="n"/>
      <c r="G113" s="227" t="n"/>
      <c r="H113" s="227" t="n"/>
      <c r="I113" s="227" t="n"/>
      <c r="J113" s="227" t="n"/>
      <c r="K113" s="227" t="n"/>
      <c r="L113" s="227" t="n"/>
      <c r="M113" s="227" t="n"/>
      <c r="N113" s="227" t="n"/>
      <c r="O113" s="229" t="n"/>
      <c r="P113" s="230" t="n"/>
      <c r="Q113" s="227" t="n"/>
      <c r="R113" s="15">
        <f>IFERROR(IF(OR([@案件狀況]="已破獲未移送",[@案件狀況]="已移送"),"是","否"),"")</f>
        <v/>
      </c>
      <c r="S113" s="15">
        <f>IFERROR(IF([@發生時間]="","",YEAR([@發生時間])-1911),"")</f>
        <v/>
      </c>
      <c r="T113" s="15">
        <f>IFERROR(INDEX(案類分類清單,MATCH([@案類],案類名稱清單,0)),"")</f>
        <v/>
      </c>
      <c r="U113" s="15">
        <f>IFERROR(INDEX(納入全般清單,MATCH([@案類],案類名稱清單,0)),"否")</f>
        <v/>
      </c>
      <c r="V113" s="15">
        <f>IFERROR([@歸屬年度]*10000+IFERROR(MATCH([@案件狀況],{"尚未偵破","已破獲未移送","已移送","簽結"},0),0)*100+ROW(),0)</f>
        <v/>
      </c>
      <c r="W113" s="227" t="n"/>
      <c r="X113" s="15">
        <f>IFERROR(IF([@績效類別]="","是","否"),"是")</f>
        <v/>
      </c>
      <c r="Y113" s="227" t="n"/>
    </row>
    <row r="114" ht="30" customHeight="1">
      <c r="A114" s="227" t="n"/>
      <c r="B114" s="227" t="n"/>
      <c r="C114" s="227" t="n"/>
      <c r="D114" s="228" t="n"/>
      <c r="E114" s="227" t="n"/>
      <c r="F114" s="228" t="n"/>
      <c r="G114" s="227" t="n"/>
      <c r="H114" s="227" t="n"/>
      <c r="I114" s="227" t="n"/>
      <c r="J114" s="227" t="n"/>
      <c r="K114" s="227" t="n"/>
      <c r="L114" s="227" t="n"/>
      <c r="M114" s="227" t="n"/>
      <c r="N114" s="227" t="n"/>
      <c r="O114" s="229" t="n"/>
      <c r="P114" s="230" t="n"/>
      <c r="Q114" s="227" t="n"/>
      <c r="R114" s="15">
        <f>IFERROR(IF(OR([@案件狀況]="已破獲未移送",[@案件狀況]="已移送"),"是","否"),"")</f>
        <v/>
      </c>
      <c r="S114" s="15">
        <f>IFERROR(IF([@發生時間]="","",YEAR([@發生時間])-1911),"")</f>
        <v/>
      </c>
      <c r="T114" s="15">
        <f>IFERROR(INDEX(案類分類清單,MATCH([@案類],案類名稱清單,0)),"")</f>
        <v/>
      </c>
      <c r="U114" s="15">
        <f>IFERROR(INDEX(納入全般清單,MATCH([@案類],案類名稱清單,0)),"否")</f>
        <v/>
      </c>
      <c r="V114" s="15">
        <f>IFERROR([@歸屬年度]*10000+IFERROR(MATCH([@案件狀況],{"尚未偵破","已破獲未移送","已移送","簽結"},0),0)*100+ROW(),0)</f>
        <v/>
      </c>
      <c r="W114" s="227" t="n"/>
      <c r="X114" s="15">
        <f>IFERROR(IF([@績效類別]="","是","否"),"是")</f>
        <v/>
      </c>
      <c r="Y114" s="227" t="n"/>
    </row>
    <row r="115" ht="30" customHeight="1">
      <c r="A115" s="227" t="n"/>
      <c r="B115" s="227" t="n"/>
      <c r="C115" s="227" t="n"/>
      <c r="D115" s="228" t="n"/>
      <c r="E115" s="227" t="n"/>
      <c r="F115" s="228" t="n"/>
      <c r="G115" s="227" t="n"/>
      <c r="H115" s="227" t="n"/>
      <c r="I115" s="227" t="n"/>
      <c r="J115" s="227" t="n"/>
      <c r="K115" s="227" t="n"/>
      <c r="L115" s="227" t="n"/>
      <c r="M115" s="227" t="n"/>
      <c r="N115" s="227" t="n"/>
      <c r="O115" s="229" t="n"/>
      <c r="P115" s="230" t="n"/>
      <c r="Q115" s="227" t="n"/>
      <c r="R115" s="15">
        <f>IFERROR(IF(OR([@案件狀況]="已破獲未移送",[@案件狀況]="已移送"),"是","否"),"")</f>
        <v/>
      </c>
      <c r="S115" s="15">
        <f>IFERROR(IF([@發生時間]="","",YEAR([@發生時間])-1911),"")</f>
        <v/>
      </c>
      <c r="T115" s="15">
        <f>IFERROR(INDEX(案類分類清單,MATCH([@案類],案類名稱清單,0)),"")</f>
        <v/>
      </c>
      <c r="U115" s="15">
        <f>IFERROR(INDEX(納入全般清單,MATCH([@案類],案類名稱清單,0)),"否")</f>
        <v/>
      </c>
      <c r="V115" s="15">
        <f>IFERROR([@歸屬年度]*10000+IFERROR(MATCH([@案件狀況],{"尚未偵破","已破獲未移送","已移送","簽結"},0),0)*100+ROW(),0)</f>
        <v/>
      </c>
      <c r="W115" s="227" t="n"/>
      <c r="X115" s="15">
        <f>IFERROR(IF([@績效類別]="","是","否"),"是")</f>
        <v/>
      </c>
      <c r="Y115" s="227" t="n"/>
    </row>
    <row r="116" ht="30" customHeight="1">
      <c r="A116" s="227" t="n"/>
      <c r="B116" s="227" t="n"/>
      <c r="C116" s="227" t="n"/>
      <c r="D116" s="228" t="n"/>
      <c r="E116" s="227" t="n"/>
      <c r="F116" s="228" t="n"/>
      <c r="G116" s="227" t="n"/>
      <c r="H116" s="227" t="n"/>
      <c r="I116" s="227" t="n"/>
      <c r="J116" s="227" t="n"/>
      <c r="K116" s="227" t="n"/>
      <c r="L116" s="227" t="n"/>
      <c r="M116" s="227" t="n"/>
      <c r="N116" s="227" t="n"/>
      <c r="O116" s="229" t="n"/>
      <c r="P116" s="230" t="n"/>
      <c r="Q116" s="227" t="n"/>
      <c r="R116" s="15">
        <f>IFERROR(IF(OR([@案件狀況]="已破獲未移送",[@案件狀況]="已移送"),"是","否"),"")</f>
        <v/>
      </c>
      <c r="S116" s="15">
        <f>IFERROR(IF([@發生時間]="","",YEAR([@發生時間])-1911),"")</f>
        <v/>
      </c>
      <c r="T116" s="15">
        <f>IFERROR(INDEX(案類分類清單,MATCH([@案類],案類名稱清單,0)),"")</f>
        <v/>
      </c>
      <c r="U116" s="15">
        <f>IFERROR(INDEX(納入全般清單,MATCH([@案類],案類名稱清單,0)),"否")</f>
        <v/>
      </c>
      <c r="V116" s="15">
        <f>IFERROR([@歸屬年度]*10000+IFERROR(MATCH([@案件狀況],{"尚未偵破","已破獲未移送","已移送","簽結"},0),0)*100+ROW(),0)</f>
        <v/>
      </c>
      <c r="W116" s="227" t="n"/>
      <c r="X116" s="15">
        <f>IFERROR(IF([@績效類別]="","是","否"),"是")</f>
        <v/>
      </c>
      <c r="Y116" s="227" t="n"/>
    </row>
    <row r="117" ht="30" customHeight="1">
      <c r="A117" s="227" t="n"/>
      <c r="B117" s="227" t="n"/>
      <c r="C117" s="227" t="n"/>
      <c r="D117" s="228" t="n"/>
      <c r="E117" s="227" t="n"/>
      <c r="F117" s="228" t="n"/>
      <c r="G117" s="227" t="n"/>
      <c r="H117" s="227" t="n"/>
      <c r="I117" s="227" t="n"/>
      <c r="J117" s="227" t="n"/>
      <c r="K117" s="227" t="n"/>
      <c r="L117" s="227" t="n"/>
      <c r="M117" s="227" t="n"/>
      <c r="N117" s="227" t="n"/>
      <c r="O117" s="229" t="n"/>
      <c r="P117" s="230" t="n"/>
      <c r="Q117" s="227" t="n"/>
      <c r="R117" s="15">
        <f>IFERROR(IF(OR([@案件狀況]="已破獲未移送",[@案件狀況]="已移送"),"是","否"),"")</f>
        <v/>
      </c>
      <c r="S117" s="15">
        <f>IFERROR(IF([@發生時間]="","",YEAR([@發生時間])-1911),"")</f>
        <v/>
      </c>
      <c r="T117" s="15">
        <f>IFERROR(INDEX(案類分類清單,MATCH([@案類],案類名稱清單,0)),"")</f>
        <v/>
      </c>
      <c r="U117" s="15">
        <f>IFERROR(INDEX(納入全般清單,MATCH([@案類],案類名稱清單,0)),"否")</f>
        <v/>
      </c>
      <c r="V117" s="15">
        <f>IFERROR([@歸屬年度]*10000+IFERROR(MATCH([@案件狀況],{"尚未偵破","已破獲未移送","已移送","簽結"},0),0)*100+ROW(),0)</f>
        <v/>
      </c>
      <c r="W117" s="227" t="n"/>
      <c r="X117" s="15">
        <f>IFERROR(IF([@績效類別]="","是","否"),"是")</f>
        <v/>
      </c>
      <c r="Y117" s="227" t="n"/>
    </row>
    <row r="118" ht="30" customHeight="1">
      <c r="A118" s="227" t="n"/>
      <c r="B118" s="227" t="n"/>
      <c r="C118" s="227" t="n"/>
      <c r="D118" s="228" t="n"/>
      <c r="E118" s="227" t="n"/>
      <c r="F118" s="228" t="n"/>
      <c r="G118" s="227" t="n"/>
      <c r="H118" s="227" t="n"/>
      <c r="I118" s="227" t="n"/>
      <c r="J118" s="227" t="n"/>
      <c r="K118" s="227" t="n"/>
      <c r="L118" s="227" t="n"/>
      <c r="M118" s="227" t="n"/>
      <c r="N118" s="227" t="n"/>
      <c r="O118" s="229" t="n"/>
      <c r="P118" s="230" t="n"/>
      <c r="Q118" s="227" t="n"/>
      <c r="R118" s="15">
        <f>IFERROR(IF(OR([@案件狀況]="已破獲未移送",[@案件狀況]="已移送"),"是","否"),"")</f>
        <v/>
      </c>
      <c r="S118" s="15">
        <f>IFERROR(IF([@發生時間]="","",YEAR([@發生時間])-1911),"")</f>
        <v/>
      </c>
      <c r="T118" s="15">
        <f>IFERROR(INDEX(案類分類清單,MATCH([@案類],案類名稱清單,0)),"")</f>
        <v/>
      </c>
      <c r="U118" s="15">
        <f>IFERROR(INDEX(納入全般清單,MATCH([@案類],案類名稱清單,0)),"否")</f>
        <v/>
      </c>
      <c r="V118" s="15">
        <f>IFERROR([@歸屬年度]*10000+IFERROR(MATCH([@案件狀況],{"尚未偵破","已破獲未移送","已移送","簽結"},0),0)*100+ROW(),0)</f>
        <v/>
      </c>
      <c r="W118" s="227" t="n"/>
      <c r="X118" s="15">
        <f>IFERROR(IF([@績效類別]="","是","否"),"是")</f>
        <v/>
      </c>
      <c r="Y118" s="227" t="n"/>
    </row>
    <row r="119" ht="30" customHeight="1">
      <c r="A119" s="227" t="n"/>
      <c r="B119" s="227" t="n"/>
      <c r="C119" s="227" t="n"/>
      <c r="D119" s="228" t="n"/>
      <c r="E119" s="227" t="n"/>
      <c r="F119" s="228" t="n"/>
      <c r="G119" s="227" t="n"/>
      <c r="H119" s="227" t="n"/>
      <c r="I119" s="227" t="n"/>
      <c r="J119" s="227" t="n"/>
      <c r="K119" s="227" t="n"/>
      <c r="L119" s="227" t="n"/>
      <c r="M119" s="227" t="n"/>
      <c r="N119" s="227" t="n"/>
      <c r="O119" s="229" t="n"/>
      <c r="P119" s="230" t="n"/>
      <c r="Q119" s="227" t="n"/>
      <c r="R119" s="15">
        <f>IFERROR(IF(OR([@案件狀況]="已破獲未移送",[@案件狀況]="已移送"),"是","否"),"")</f>
        <v/>
      </c>
      <c r="S119" s="15">
        <f>IFERROR(IF([@發生時間]="","",YEAR([@發生時間])-1911),"")</f>
        <v/>
      </c>
      <c r="T119" s="15">
        <f>IFERROR(INDEX(案類分類清單,MATCH([@案類],案類名稱清單,0)),"")</f>
        <v/>
      </c>
      <c r="U119" s="15">
        <f>IFERROR(INDEX(納入全般清單,MATCH([@案類],案類名稱清單,0)),"否")</f>
        <v/>
      </c>
      <c r="V119" s="15">
        <f>IFERROR([@歸屬年度]*10000+IFERROR(MATCH([@案件狀況],{"尚未偵破","已破獲未移送","已移送","簽結"},0),0)*100+ROW(),0)</f>
        <v/>
      </c>
      <c r="W119" s="227" t="n"/>
      <c r="X119" s="15">
        <f>IFERROR(IF([@績效類別]="","是","否"),"是")</f>
        <v/>
      </c>
      <c r="Y119" s="227" t="n"/>
    </row>
    <row r="120" ht="30" customHeight="1">
      <c r="A120" s="227" t="n"/>
      <c r="B120" s="227" t="n"/>
      <c r="C120" s="227" t="n"/>
      <c r="D120" s="228" t="n"/>
      <c r="E120" s="227" t="n"/>
      <c r="F120" s="228" t="n"/>
      <c r="G120" s="227" t="n"/>
      <c r="H120" s="227" t="n"/>
      <c r="I120" s="227" t="n"/>
      <c r="J120" s="227" t="n"/>
      <c r="K120" s="227" t="n"/>
      <c r="L120" s="227" t="n"/>
      <c r="M120" s="227" t="n"/>
      <c r="N120" s="227" t="n"/>
      <c r="O120" s="229" t="n"/>
      <c r="P120" s="230" t="n"/>
      <c r="Q120" s="227" t="n"/>
      <c r="R120" s="15">
        <f>IFERROR(IF(OR([@案件狀況]="已破獲未移送",[@案件狀況]="已移送"),"是","否"),"")</f>
        <v/>
      </c>
      <c r="S120" s="15">
        <f>IFERROR(IF([@發生時間]="","",YEAR([@發生時間])-1911),"")</f>
        <v/>
      </c>
      <c r="T120" s="15">
        <f>IFERROR(INDEX(案類分類清單,MATCH([@案類],案類名稱清單,0)),"")</f>
        <v/>
      </c>
      <c r="U120" s="15">
        <f>IFERROR(INDEX(納入全般清單,MATCH([@案類],案類名稱清單,0)),"否")</f>
        <v/>
      </c>
      <c r="V120" s="15">
        <f>IFERROR([@歸屬年度]*10000+IFERROR(MATCH([@案件狀況],{"尚未偵破","已破獲未移送","已移送","簽結"},0),0)*100+ROW(),0)</f>
        <v/>
      </c>
      <c r="W120" s="227" t="n"/>
      <c r="X120" s="15">
        <f>IFERROR(IF([@績效類別]="","是","否"),"是")</f>
        <v/>
      </c>
      <c r="Y120" s="227" t="n"/>
    </row>
    <row r="121" ht="30" customHeight="1">
      <c r="A121" s="227" t="n"/>
      <c r="B121" s="227" t="n"/>
      <c r="C121" s="227" t="n"/>
      <c r="D121" s="228" t="n"/>
      <c r="E121" s="227" t="n"/>
      <c r="F121" s="228" t="n"/>
      <c r="G121" s="227" t="n"/>
      <c r="H121" s="227" t="n"/>
      <c r="I121" s="227" t="n"/>
      <c r="J121" s="227" t="n"/>
      <c r="K121" s="227" t="n"/>
      <c r="L121" s="227" t="n"/>
      <c r="M121" s="227" t="n"/>
      <c r="N121" s="227" t="n"/>
      <c r="O121" s="229" t="n"/>
      <c r="P121" s="230" t="n"/>
      <c r="Q121" s="227" t="n"/>
      <c r="R121" s="15">
        <f>IFERROR(IF(OR([@案件狀況]="已破獲未移送",[@案件狀況]="已移送"),"是","否"),"")</f>
        <v/>
      </c>
      <c r="S121" s="15">
        <f>IFERROR(IF([@發生時間]="","",YEAR([@發生時間])-1911),"")</f>
        <v/>
      </c>
      <c r="T121" s="15">
        <f>IFERROR(INDEX(案類分類清單,MATCH([@案類],案類名稱清單,0)),"")</f>
        <v/>
      </c>
      <c r="U121" s="15">
        <f>IFERROR(INDEX(納入全般清單,MATCH([@案類],案類名稱清單,0)),"否")</f>
        <v/>
      </c>
      <c r="V121" s="15">
        <f>IFERROR([@歸屬年度]*10000+IFERROR(MATCH([@案件狀況],{"尚未偵破","已破獲未移送","已移送","簽結"},0),0)*100+ROW(),0)</f>
        <v/>
      </c>
      <c r="W121" s="227" t="n"/>
      <c r="X121" s="15">
        <f>IFERROR(IF([@績效類別]="","是","否"),"是")</f>
        <v/>
      </c>
      <c r="Y121" s="227" t="n"/>
    </row>
    <row r="122" ht="30" customHeight="1">
      <c r="A122" s="227" t="n"/>
      <c r="B122" s="227" t="n"/>
      <c r="C122" s="227" t="n"/>
      <c r="D122" s="228" t="n"/>
      <c r="E122" s="227" t="n"/>
      <c r="F122" s="228" t="n"/>
      <c r="G122" s="227" t="n"/>
      <c r="H122" s="227" t="n"/>
      <c r="I122" s="227" t="n"/>
      <c r="J122" s="227" t="n"/>
      <c r="K122" s="227" t="n"/>
      <c r="L122" s="227" t="n"/>
      <c r="M122" s="227" t="n"/>
      <c r="N122" s="227" t="n"/>
      <c r="O122" s="229" t="n"/>
      <c r="P122" s="230" t="n"/>
      <c r="Q122" s="227" t="n"/>
      <c r="R122" s="15">
        <f>IFERROR(IF(OR([@案件狀況]="已破獲未移送",[@案件狀況]="已移送"),"是","否"),"")</f>
        <v/>
      </c>
      <c r="S122" s="15">
        <f>IFERROR(IF([@發生時間]="","",YEAR([@發生時間])-1911),"")</f>
        <v/>
      </c>
      <c r="T122" s="15">
        <f>IFERROR(INDEX(案類分類清單,MATCH([@案類],案類名稱清單,0)),"")</f>
        <v/>
      </c>
      <c r="U122" s="15">
        <f>IFERROR(INDEX(納入全般清單,MATCH([@案類],案類名稱清單,0)),"否")</f>
        <v/>
      </c>
      <c r="V122" s="15">
        <f>IFERROR([@歸屬年度]*10000+IFERROR(MATCH([@案件狀況],{"尚未偵破","已破獲未移送","已移送","簽結"},0),0)*100+ROW(),0)</f>
        <v/>
      </c>
      <c r="W122" s="227" t="n"/>
      <c r="X122" s="15">
        <f>IFERROR(IF([@績效類別]="","是","否"),"是")</f>
        <v/>
      </c>
      <c r="Y122" s="227" t="n"/>
    </row>
    <row r="123" ht="30" customHeight="1">
      <c r="A123" s="227" t="n"/>
      <c r="B123" s="227" t="n"/>
      <c r="C123" s="227" t="n"/>
      <c r="D123" s="228" t="n"/>
      <c r="E123" s="227" t="n"/>
      <c r="F123" s="228" t="n"/>
      <c r="G123" s="227" t="n"/>
      <c r="H123" s="227" t="n"/>
      <c r="I123" s="227" t="n"/>
      <c r="J123" s="227" t="n"/>
      <c r="K123" s="227" t="n"/>
      <c r="L123" s="227" t="n"/>
      <c r="M123" s="227" t="n"/>
      <c r="N123" s="227" t="n"/>
      <c r="O123" s="229" t="n"/>
      <c r="P123" s="230" t="n"/>
      <c r="Q123" s="227" t="n"/>
      <c r="R123" s="15">
        <f>IFERROR(IF(OR([@案件狀況]="已破獲未移送",[@案件狀況]="已移送"),"是","否"),"")</f>
        <v/>
      </c>
      <c r="S123" s="15">
        <f>IFERROR(IF([@發生時間]="","",YEAR([@發生時間])-1911),"")</f>
        <v/>
      </c>
      <c r="T123" s="15">
        <f>IFERROR(INDEX(案類分類清單,MATCH([@案類],案類名稱清單,0)),"")</f>
        <v/>
      </c>
      <c r="U123" s="15">
        <f>IFERROR(INDEX(納入全般清單,MATCH([@案類],案類名稱清單,0)),"否")</f>
        <v/>
      </c>
      <c r="V123" s="15">
        <f>IFERROR([@歸屬年度]*10000+IFERROR(MATCH([@案件狀況],{"尚未偵破","已破獲未移送","已移送","簽結"},0),0)*100+ROW(),0)</f>
        <v/>
      </c>
      <c r="W123" s="227" t="n"/>
      <c r="X123" s="15">
        <f>IFERROR(IF([@績效類別]="","是","否"),"是")</f>
        <v/>
      </c>
      <c r="Y123" s="227" t="n"/>
    </row>
    <row r="124" ht="30" customHeight="1">
      <c r="A124" s="227" t="n"/>
      <c r="B124" s="227" t="n"/>
      <c r="C124" s="227" t="n"/>
      <c r="D124" s="228" t="n"/>
      <c r="E124" s="227" t="n"/>
      <c r="F124" s="228" t="n"/>
      <c r="G124" s="227" t="n"/>
      <c r="H124" s="227" t="n"/>
      <c r="I124" s="227" t="n"/>
      <c r="J124" s="227" t="n"/>
      <c r="K124" s="227" t="n"/>
      <c r="L124" s="227" t="n"/>
      <c r="M124" s="227" t="n"/>
      <c r="N124" s="227" t="n"/>
      <c r="O124" s="229" t="n"/>
      <c r="P124" s="230" t="n"/>
      <c r="Q124" s="227" t="n"/>
      <c r="R124" s="15">
        <f>IFERROR(IF(OR([@案件狀況]="已破獲未移送",[@案件狀況]="已移送"),"是","否"),"")</f>
        <v/>
      </c>
      <c r="S124" s="15">
        <f>IFERROR(IF([@發生時間]="","",YEAR([@發生時間])-1911),"")</f>
        <v/>
      </c>
      <c r="T124" s="15">
        <f>IFERROR(INDEX(案類分類清單,MATCH([@案類],案類名稱清單,0)),"")</f>
        <v/>
      </c>
      <c r="U124" s="15">
        <f>IFERROR(INDEX(納入全般清單,MATCH([@案類],案類名稱清單,0)),"否")</f>
        <v/>
      </c>
      <c r="V124" s="15">
        <f>IFERROR([@歸屬年度]*10000+IFERROR(MATCH([@案件狀況],{"尚未偵破","已破獲未移送","已移送","簽結"},0),0)*100+ROW(),0)</f>
        <v/>
      </c>
      <c r="W124" s="227" t="n"/>
      <c r="X124" s="15">
        <f>IFERROR(IF([@績效類別]="","是","否"),"是")</f>
        <v/>
      </c>
      <c r="Y124" s="227" t="n"/>
    </row>
    <row r="125" ht="30" customHeight="1">
      <c r="A125" s="227" t="n"/>
      <c r="B125" s="227" t="n"/>
      <c r="C125" s="227" t="n"/>
      <c r="D125" s="228" t="n"/>
      <c r="E125" s="227" t="n"/>
      <c r="F125" s="228" t="n"/>
      <c r="G125" s="227" t="n"/>
      <c r="H125" s="227" t="n"/>
      <c r="I125" s="227" t="n"/>
      <c r="J125" s="227" t="n"/>
      <c r="K125" s="227" t="n"/>
      <c r="L125" s="227" t="n"/>
      <c r="M125" s="227" t="n"/>
      <c r="N125" s="227" t="n"/>
      <c r="O125" s="229" t="n"/>
      <c r="P125" s="230" t="n"/>
      <c r="Q125" s="227" t="n"/>
      <c r="R125" s="15">
        <f>IFERROR(IF(OR([@案件狀況]="已破獲未移送",[@案件狀況]="已移送"),"是","否"),"")</f>
        <v/>
      </c>
      <c r="S125" s="15">
        <f>IFERROR(IF([@發生時間]="","",YEAR([@發生時間])-1911),"")</f>
        <v/>
      </c>
      <c r="T125" s="15">
        <f>IFERROR(INDEX(案類分類清單,MATCH([@案類],案類名稱清單,0)),"")</f>
        <v/>
      </c>
      <c r="U125" s="15">
        <f>IFERROR(INDEX(納入全般清單,MATCH([@案類],案類名稱清單,0)),"否")</f>
        <v/>
      </c>
      <c r="V125" s="15">
        <f>IFERROR([@歸屬年度]*10000+IFERROR(MATCH([@案件狀況],{"尚未偵破","已破獲未移送","已移送","簽結"},0),0)*100+ROW(),0)</f>
        <v/>
      </c>
      <c r="W125" s="227" t="n"/>
      <c r="X125" s="15">
        <f>IFERROR(IF([@績效類別]="","是","否"),"是")</f>
        <v/>
      </c>
      <c r="Y125" s="227" t="n"/>
    </row>
    <row r="126" ht="30" customHeight="1">
      <c r="A126" s="227" t="n"/>
      <c r="B126" s="227" t="n"/>
      <c r="C126" s="227" t="n"/>
      <c r="D126" s="228" t="n"/>
      <c r="E126" s="227" t="n"/>
      <c r="F126" s="228" t="n"/>
      <c r="G126" s="227" t="n"/>
      <c r="H126" s="227" t="n"/>
      <c r="I126" s="227" t="n"/>
      <c r="J126" s="227" t="n"/>
      <c r="K126" s="227" t="n"/>
      <c r="L126" s="227" t="n"/>
      <c r="M126" s="227" t="n"/>
      <c r="N126" s="227" t="n"/>
      <c r="O126" s="229" t="n"/>
      <c r="P126" s="230" t="n"/>
      <c r="Q126" s="227" t="n"/>
      <c r="R126" s="15">
        <f>IFERROR(IF(OR([@案件狀況]="已破獲未移送",[@案件狀況]="已移送"),"是","否"),"")</f>
        <v/>
      </c>
      <c r="S126" s="15">
        <f>IFERROR(IF([@發生時間]="","",YEAR([@發生時間])-1911),"")</f>
        <v/>
      </c>
      <c r="T126" s="15">
        <f>IFERROR(INDEX(案類分類清單,MATCH([@案類],案類名稱清單,0)),"")</f>
        <v/>
      </c>
      <c r="U126" s="15">
        <f>IFERROR(INDEX(納入全般清單,MATCH([@案類],案類名稱清單,0)),"否")</f>
        <v/>
      </c>
      <c r="V126" s="15">
        <f>IFERROR([@歸屬年度]*10000+IFERROR(MATCH([@案件狀況],{"尚未偵破","已破獲未移送","已移送","簽結"},0),0)*100+ROW(),0)</f>
        <v/>
      </c>
      <c r="W126" s="227" t="n"/>
      <c r="X126" s="15">
        <f>IFERROR(IF([@績效類別]="","是","否"),"是")</f>
        <v/>
      </c>
      <c r="Y126" s="227" t="n"/>
    </row>
    <row r="127" ht="30" customHeight="1">
      <c r="A127" s="227" t="n"/>
      <c r="B127" s="227" t="n"/>
      <c r="C127" s="227" t="n"/>
      <c r="D127" s="228" t="n"/>
      <c r="E127" s="227" t="n"/>
      <c r="F127" s="228" t="n"/>
      <c r="G127" s="227" t="n"/>
      <c r="H127" s="227" t="n"/>
      <c r="I127" s="227" t="n"/>
      <c r="J127" s="227" t="n"/>
      <c r="K127" s="227" t="n"/>
      <c r="L127" s="227" t="n"/>
      <c r="M127" s="227" t="n"/>
      <c r="N127" s="227" t="n"/>
      <c r="O127" s="229" t="n"/>
      <c r="P127" s="230" t="n"/>
      <c r="Q127" s="227" t="n"/>
      <c r="R127" s="15">
        <f>IFERROR(IF(OR([@案件狀況]="已破獲未移送",[@案件狀況]="已移送"),"是","否"),"")</f>
        <v/>
      </c>
      <c r="S127" s="15">
        <f>IFERROR(IF([@發生時間]="","",YEAR([@發生時間])-1911),"")</f>
        <v/>
      </c>
      <c r="T127" s="15">
        <f>IFERROR(INDEX(案類分類清單,MATCH([@案類],案類名稱清單,0)),"")</f>
        <v/>
      </c>
      <c r="U127" s="15">
        <f>IFERROR(INDEX(納入全般清單,MATCH([@案類],案類名稱清單,0)),"否")</f>
        <v/>
      </c>
      <c r="V127" s="15">
        <f>IFERROR([@歸屬年度]*10000+IFERROR(MATCH([@案件狀況],{"尚未偵破","已破獲未移送","已移送","簽結"},0),0)*100+ROW(),0)</f>
        <v/>
      </c>
      <c r="W127" s="227" t="n"/>
      <c r="X127" s="15">
        <f>IFERROR(IF([@績效類別]="","是","否"),"是")</f>
        <v/>
      </c>
      <c r="Y127" s="227" t="n"/>
    </row>
    <row r="128" ht="30" customHeight="1">
      <c r="A128" s="227" t="n"/>
      <c r="B128" s="227" t="n"/>
      <c r="C128" s="227" t="n"/>
      <c r="D128" s="228" t="n"/>
      <c r="E128" s="227" t="n"/>
      <c r="F128" s="228" t="n"/>
      <c r="G128" s="227" t="n"/>
      <c r="H128" s="227" t="n"/>
      <c r="I128" s="227" t="n"/>
      <c r="J128" s="227" t="n"/>
      <c r="K128" s="227" t="n"/>
      <c r="L128" s="227" t="n"/>
      <c r="M128" s="227" t="n"/>
      <c r="N128" s="227" t="n"/>
      <c r="O128" s="229" t="n"/>
      <c r="P128" s="230" t="n"/>
      <c r="Q128" s="227" t="n"/>
      <c r="R128" s="15">
        <f>IFERROR(IF(OR([@案件狀況]="已破獲未移送",[@案件狀況]="已移送"),"是","否"),"")</f>
        <v/>
      </c>
      <c r="S128" s="15">
        <f>IFERROR(IF([@發生時間]="","",YEAR([@發生時間])-1911),"")</f>
        <v/>
      </c>
      <c r="T128" s="15">
        <f>IFERROR(INDEX(案類分類清單,MATCH([@案類],案類名稱清單,0)),"")</f>
        <v/>
      </c>
      <c r="U128" s="15">
        <f>IFERROR(INDEX(納入全般清單,MATCH([@案類],案類名稱清單,0)),"否")</f>
        <v/>
      </c>
      <c r="V128" s="15">
        <f>IFERROR([@歸屬年度]*10000+IFERROR(MATCH([@案件狀況],{"尚未偵破","已破獲未移送","已移送","簽結"},0),0)*100+ROW(),0)</f>
        <v/>
      </c>
      <c r="W128" s="227" t="n"/>
      <c r="X128" s="15">
        <f>IFERROR(IF([@績效類別]="","是","否"),"是")</f>
        <v/>
      </c>
      <c r="Y128" s="227" t="n"/>
    </row>
    <row r="129" ht="30" customHeight="1">
      <c r="A129" s="227" t="n"/>
      <c r="B129" s="227" t="n"/>
      <c r="C129" s="227" t="n"/>
      <c r="D129" s="228" t="n"/>
      <c r="E129" s="227" t="n"/>
      <c r="F129" s="228" t="n"/>
      <c r="G129" s="227" t="n"/>
      <c r="H129" s="227" t="n"/>
      <c r="I129" s="227" t="n"/>
      <c r="J129" s="227" t="n"/>
      <c r="K129" s="227" t="n"/>
      <c r="L129" s="227" t="n"/>
      <c r="M129" s="227" t="n"/>
      <c r="N129" s="227" t="n"/>
      <c r="O129" s="229" t="n"/>
      <c r="P129" s="230" t="n"/>
      <c r="Q129" s="227" t="n"/>
      <c r="R129" s="15">
        <f>IFERROR(IF(OR([@案件狀況]="已破獲未移送",[@案件狀況]="已移送"),"是","否"),"")</f>
        <v/>
      </c>
      <c r="S129" s="15">
        <f>IFERROR(IF([@發生時間]="","",YEAR([@發生時間])-1911),"")</f>
        <v/>
      </c>
      <c r="T129" s="15">
        <f>IFERROR(INDEX(案類分類清單,MATCH([@案類],案類名稱清單,0)),"")</f>
        <v/>
      </c>
      <c r="U129" s="15">
        <f>IFERROR(INDEX(納入全般清單,MATCH([@案類],案類名稱清單,0)),"否")</f>
        <v/>
      </c>
      <c r="V129" s="15">
        <f>IFERROR([@歸屬年度]*10000+IFERROR(MATCH([@案件狀況],{"尚未偵破","已破獲未移送","已移送","簽結"},0),0)*100+ROW(),0)</f>
        <v/>
      </c>
      <c r="W129" s="227" t="n"/>
      <c r="X129" s="15">
        <f>IFERROR(IF([@績效類別]="","是","否"),"是")</f>
        <v/>
      </c>
      <c r="Y129" s="227" t="n"/>
    </row>
    <row r="130" ht="30" customHeight="1">
      <c r="A130" s="227" t="n"/>
      <c r="B130" s="227" t="n"/>
      <c r="C130" s="227" t="n"/>
      <c r="D130" s="228" t="n"/>
      <c r="E130" s="227" t="n"/>
      <c r="F130" s="228" t="n"/>
      <c r="G130" s="227" t="n"/>
      <c r="H130" s="227" t="n"/>
      <c r="I130" s="227" t="n"/>
      <c r="J130" s="227" t="n"/>
      <c r="K130" s="227" t="n"/>
      <c r="L130" s="227" t="n"/>
      <c r="M130" s="227" t="n"/>
      <c r="N130" s="227" t="n"/>
      <c r="O130" s="229" t="n"/>
      <c r="P130" s="230" t="n"/>
      <c r="Q130" s="227" t="n"/>
      <c r="R130" s="15">
        <f>IFERROR(IF(OR([@案件狀況]="已破獲未移送",[@案件狀況]="已移送"),"是","否"),"")</f>
        <v/>
      </c>
      <c r="S130" s="15">
        <f>IFERROR(IF([@發生時間]="","",YEAR([@發生時間])-1911),"")</f>
        <v/>
      </c>
      <c r="T130" s="15">
        <f>IFERROR(INDEX(案類分類清單,MATCH([@案類],案類名稱清單,0)),"")</f>
        <v/>
      </c>
      <c r="U130" s="15">
        <f>IFERROR(INDEX(納入全般清單,MATCH([@案類],案類名稱清單,0)),"否")</f>
        <v/>
      </c>
      <c r="V130" s="15">
        <f>IFERROR([@歸屬年度]*10000+IFERROR(MATCH([@案件狀況],{"尚未偵破","已破獲未移送","已移送","簽結"},0),0)*100+ROW(),0)</f>
        <v/>
      </c>
      <c r="W130" s="227" t="n"/>
      <c r="X130" s="15">
        <f>IFERROR(IF([@績效類別]="","是","否"),"是")</f>
        <v/>
      </c>
      <c r="Y130" s="227" t="n"/>
    </row>
    <row r="131" ht="30" customHeight="1">
      <c r="A131" s="227" t="n"/>
      <c r="B131" s="227" t="n"/>
      <c r="C131" s="227" t="n"/>
      <c r="D131" s="228" t="n"/>
      <c r="E131" s="227" t="n"/>
      <c r="F131" s="228" t="n"/>
      <c r="G131" s="227" t="n"/>
      <c r="H131" s="227" t="n"/>
      <c r="I131" s="227" t="n"/>
      <c r="J131" s="227" t="n"/>
      <c r="K131" s="227" t="n"/>
      <c r="L131" s="227" t="n"/>
      <c r="M131" s="227" t="n"/>
      <c r="N131" s="227" t="n"/>
      <c r="O131" s="229" t="n"/>
      <c r="P131" s="230" t="n"/>
      <c r="Q131" s="227" t="n"/>
      <c r="R131" s="15">
        <f>IFERROR(IF(OR([@案件狀況]="已破獲未移送",[@案件狀況]="已移送"),"是","否"),"")</f>
        <v/>
      </c>
      <c r="S131" s="15">
        <f>IFERROR(IF([@發生時間]="","",YEAR([@發生時間])-1911),"")</f>
        <v/>
      </c>
      <c r="T131" s="15">
        <f>IFERROR(INDEX(案類分類清單,MATCH([@案類],案類名稱清單,0)),"")</f>
        <v/>
      </c>
      <c r="U131" s="15">
        <f>IFERROR(INDEX(納入全般清單,MATCH([@案類],案類名稱清單,0)),"否")</f>
        <v/>
      </c>
      <c r="V131" s="15">
        <f>IFERROR([@歸屬年度]*10000+IFERROR(MATCH([@案件狀況],{"尚未偵破","已破獲未移送","已移送","簽結"},0),0)*100+ROW(),0)</f>
        <v/>
      </c>
      <c r="W131" s="227" t="n"/>
      <c r="X131" s="15">
        <f>IFERROR(IF([@績效類別]="","是","否"),"是")</f>
        <v/>
      </c>
      <c r="Y131" s="227" t="n"/>
    </row>
    <row r="132" ht="30" customHeight="1">
      <c r="A132" s="227" t="n"/>
      <c r="B132" s="227" t="n"/>
      <c r="C132" s="227" t="n"/>
      <c r="D132" s="228" t="n"/>
      <c r="E132" s="227" t="n"/>
      <c r="F132" s="228" t="n"/>
      <c r="G132" s="227" t="n"/>
      <c r="H132" s="227" t="n"/>
      <c r="I132" s="227" t="n"/>
      <c r="J132" s="227" t="n"/>
      <c r="K132" s="227" t="n"/>
      <c r="L132" s="227" t="n"/>
      <c r="M132" s="227" t="n"/>
      <c r="N132" s="227" t="n"/>
      <c r="O132" s="229" t="n"/>
      <c r="P132" s="230" t="n"/>
      <c r="Q132" s="227" t="n"/>
      <c r="R132" s="15">
        <f>IFERROR(IF(OR([@案件狀況]="已破獲未移送",[@案件狀況]="已移送"),"是","否"),"")</f>
        <v/>
      </c>
      <c r="S132" s="15">
        <f>IFERROR(IF([@發生時間]="","",YEAR([@發生時間])-1911),"")</f>
        <v/>
      </c>
      <c r="T132" s="15">
        <f>IFERROR(INDEX(案類分類清單,MATCH([@案類],案類名稱清單,0)),"")</f>
        <v/>
      </c>
      <c r="U132" s="15">
        <f>IFERROR(INDEX(納入全般清單,MATCH([@案類],案類名稱清單,0)),"否")</f>
        <v/>
      </c>
      <c r="V132" s="15">
        <f>IFERROR([@歸屬年度]*10000+IFERROR(MATCH([@案件狀況],{"尚未偵破","已破獲未移送","已移送","簽結"},0),0)*100+ROW(),0)</f>
        <v/>
      </c>
      <c r="W132" s="227" t="n"/>
      <c r="X132" s="15">
        <f>IFERROR(IF([@績效類別]="","是","否"),"是")</f>
        <v/>
      </c>
      <c r="Y132" s="227" t="n"/>
    </row>
    <row r="133" ht="30" customHeight="1">
      <c r="A133" s="227" t="n"/>
      <c r="B133" s="227" t="n"/>
      <c r="C133" s="227" t="n"/>
      <c r="D133" s="228" t="n"/>
      <c r="E133" s="227" t="n"/>
      <c r="F133" s="228" t="n"/>
      <c r="G133" s="227" t="n"/>
      <c r="H133" s="227" t="n"/>
      <c r="I133" s="227" t="n"/>
      <c r="J133" s="227" t="n"/>
      <c r="K133" s="227" t="n"/>
      <c r="L133" s="227" t="n"/>
      <c r="M133" s="227" t="n"/>
      <c r="N133" s="227" t="n"/>
      <c r="O133" s="229" t="n"/>
      <c r="P133" s="230" t="n"/>
      <c r="Q133" s="227" t="n"/>
      <c r="R133" s="15">
        <f>IFERROR(IF(OR([@案件狀況]="已破獲未移送",[@案件狀況]="已移送"),"是","否"),"")</f>
        <v/>
      </c>
      <c r="S133" s="15">
        <f>IFERROR(IF([@發生時間]="","",YEAR([@發生時間])-1911),"")</f>
        <v/>
      </c>
      <c r="T133" s="15">
        <f>IFERROR(INDEX(案類分類清單,MATCH([@案類],案類名稱清單,0)),"")</f>
        <v/>
      </c>
      <c r="U133" s="15">
        <f>IFERROR(INDEX(納入全般清單,MATCH([@案類],案類名稱清單,0)),"否")</f>
        <v/>
      </c>
      <c r="V133" s="15">
        <f>IFERROR([@歸屬年度]*10000+IFERROR(MATCH([@案件狀況],{"尚未偵破","已破獲未移送","已移送","簽結"},0),0)*100+ROW(),0)</f>
        <v/>
      </c>
      <c r="W133" s="227" t="n"/>
      <c r="X133" s="15">
        <f>IFERROR(IF([@績效類別]="","是","否"),"是")</f>
        <v/>
      </c>
      <c r="Y133" s="227" t="n"/>
    </row>
    <row r="134" ht="30" customHeight="1">
      <c r="A134" s="227" t="n"/>
      <c r="B134" s="227" t="n"/>
      <c r="C134" s="227" t="n"/>
      <c r="D134" s="228" t="n"/>
      <c r="E134" s="227" t="n"/>
      <c r="F134" s="228" t="n"/>
      <c r="G134" s="227" t="n"/>
      <c r="H134" s="227" t="n"/>
      <c r="I134" s="227" t="n"/>
      <c r="J134" s="227" t="n"/>
      <c r="K134" s="227" t="n"/>
      <c r="L134" s="227" t="n"/>
      <c r="M134" s="227" t="n"/>
      <c r="N134" s="227" t="n"/>
      <c r="O134" s="229" t="n"/>
      <c r="P134" s="230" t="n"/>
      <c r="Q134" s="227" t="n"/>
      <c r="R134" s="15">
        <f>IFERROR(IF(OR([@案件狀況]="已破獲未移送",[@案件狀況]="已移送"),"是","否"),"")</f>
        <v/>
      </c>
      <c r="S134" s="15">
        <f>IFERROR(IF([@發生時間]="","",YEAR([@發生時間])-1911),"")</f>
        <v/>
      </c>
      <c r="T134" s="15">
        <f>IFERROR(INDEX(案類分類清單,MATCH([@案類],案類名稱清單,0)),"")</f>
        <v/>
      </c>
      <c r="U134" s="15">
        <f>IFERROR(INDEX(納入全般清單,MATCH([@案類],案類名稱清單,0)),"否")</f>
        <v/>
      </c>
      <c r="V134" s="15">
        <f>IFERROR([@歸屬年度]*10000+IFERROR(MATCH([@案件狀況],{"尚未偵破","已破獲未移送","已移送","簽結"},0),0)*100+ROW(),0)</f>
        <v/>
      </c>
      <c r="W134" s="227" t="n"/>
      <c r="X134" s="15">
        <f>IFERROR(IF([@績效類別]="","是","否"),"是")</f>
        <v/>
      </c>
      <c r="Y134" s="227" t="n"/>
    </row>
    <row r="135" ht="30" customHeight="1">
      <c r="A135" s="227" t="n"/>
      <c r="B135" s="227" t="n"/>
      <c r="C135" s="227" t="n"/>
      <c r="D135" s="228" t="n"/>
      <c r="E135" s="227" t="n"/>
      <c r="F135" s="228" t="n"/>
      <c r="G135" s="227" t="n"/>
      <c r="H135" s="227" t="n"/>
      <c r="I135" s="227" t="n"/>
      <c r="J135" s="227" t="n"/>
      <c r="K135" s="227" t="n"/>
      <c r="L135" s="227" t="n"/>
      <c r="M135" s="227" t="n"/>
      <c r="N135" s="227" t="n"/>
      <c r="O135" s="229" t="n"/>
      <c r="P135" s="230" t="n"/>
      <c r="Q135" s="227" t="n"/>
      <c r="R135" s="15">
        <f>IFERROR(IF(OR([@案件狀況]="已破獲未移送",[@案件狀況]="已移送"),"是","否"),"")</f>
        <v/>
      </c>
      <c r="S135" s="15">
        <f>IFERROR(IF([@發生時間]="","",YEAR([@發生時間])-1911),"")</f>
        <v/>
      </c>
      <c r="T135" s="15">
        <f>IFERROR(INDEX(案類分類清單,MATCH([@案類],案類名稱清單,0)),"")</f>
        <v/>
      </c>
      <c r="U135" s="15">
        <f>IFERROR(INDEX(納入全般清單,MATCH([@案類],案類名稱清單,0)),"否")</f>
        <v/>
      </c>
      <c r="V135" s="15">
        <f>IFERROR([@歸屬年度]*10000+IFERROR(MATCH([@案件狀況],{"尚未偵破","已破獲未移送","已移送","簽結"},0),0)*100+ROW(),0)</f>
        <v/>
      </c>
      <c r="W135" s="227" t="n"/>
      <c r="X135" s="15">
        <f>IFERROR(IF([@績效類別]="","是","否"),"是")</f>
        <v/>
      </c>
      <c r="Y135" s="227" t="n"/>
    </row>
    <row r="136" ht="30" customHeight="1">
      <c r="A136" s="227" t="n"/>
      <c r="B136" s="227" t="n"/>
      <c r="C136" s="227" t="n"/>
      <c r="D136" s="228" t="n"/>
      <c r="E136" s="227" t="n"/>
      <c r="F136" s="228" t="n"/>
      <c r="G136" s="227" t="n"/>
      <c r="H136" s="227" t="n"/>
      <c r="I136" s="227" t="n"/>
      <c r="J136" s="227" t="n"/>
      <c r="K136" s="227" t="n"/>
      <c r="L136" s="227" t="n"/>
      <c r="M136" s="227" t="n"/>
      <c r="N136" s="227" t="n"/>
      <c r="O136" s="229" t="n"/>
      <c r="P136" s="230" t="n"/>
      <c r="Q136" s="227" t="n"/>
      <c r="R136" s="15">
        <f>IFERROR(IF(OR([@案件狀況]="已破獲未移送",[@案件狀況]="已移送"),"是","否"),"")</f>
        <v/>
      </c>
      <c r="S136" s="15">
        <f>IFERROR(IF([@發生時間]="","",YEAR([@發生時間])-1911),"")</f>
        <v/>
      </c>
      <c r="T136" s="15">
        <f>IFERROR(INDEX(案類分類清單,MATCH([@案類],案類名稱清單,0)),"")</f>
        <v/>
      </c>
      <c r="U136" s="15">
        <f>IFERROR(INDEX(納入全般清單,MATCH([@案類],案類名稱清單,0)),"否")</f>
        <v/>
      </c>
      <c r="V136" s="15">
        <f>IFERROR([@歸屬年度]*10000+IFERROR(MATCH([@案件狀況],{"尚未偵破","已破獲未移送","已移送","簽結"},0),0)*100+ROW(),0)</f>
        <v/>
      </c>
      <c r="W136" s="227" t="n"/>
      <c r="X136" s="15">
        <f>IFERROR(IF([@績效類別]="","是","否"),"是")</f>
        <v/>
      </c>
      <c r="Y136" s="227" t="n"/>
    </row>
    <row r="137" ht="30" customHeight="1">
      <c r="A137" s="227" t="n"/>
      <c r="B137" s="227" t="n"/>
      <c r="C137" s="227" t="n"/>
      <c r="D137" s="228" t="n"/>
      <c r="E137" s="227" t="n"/>
      <c r="F137" s="228" t="n"/>
      <c r="G137" s="227" t="n"/>
      <c r="H137" s="227" t="n"/>
      <c r="I137" s="227" t="n"/>
      <c r="J137" s="227" t="n"/>
      <c r="K137" s="227" t="n"/>
      <c r="L137" s="227" t="n"/>
      <c r="M137" s="227" t="n"/>
      <c r="N137" s="227" t="n"/>
      <c r="O137" s="229" t="n"/>
      <c r="P137" s="230" t="n"/>
      <c r="Q137" s="227" t="n"/>
      <c r="R137" s="15">
        <f>IFERROR(IF(OR([@案件狀況]="已破獲未移送",[@案件狀況]="已移送"),"是","否"),"")</f>
        <v/>
      </c>
      <c r="S137" s="15">
        <f>IFERROR(IF([@發生時間]="","",YEAR([@發生時間])-1911),"")</f>
        <v/>
      </c>
      <c r="T137" s="15">
        <f>IFERROR(INDEX(案類分類清單,MATCH([@案類],案類名稱清單,0)),"")</f>
        <v/>
      </c>
      <c r="U137" s="15">
        <f>IFERROR(INDEX(納入全般清單,MATCH([@案類],案類名稱清單,0)),"否")</f>
        <v/>
      </c>
      <c r="V137" s="15">
        <f>IFERROR([@歸屬年度]*10000+IFERROR(MATCH([@案件狀況],{"尚未偵破","已破獲未移送","已移送","簽結"},0),0)*100+ROW(),0)</f>
        <v/>
      </c>
      <c r="W137" s="227" t="n"/>
      <c r="X137" s="15">
        <f>IFERROR(IF([@績效類別]="","是","否"),"是")</f>
        <v/>
      </c>
      <c r="Y137" s="227" t="n"/>
    </row>
    <row r="138" ht="30" customHeight="1">
      <c r="A138" s="227" t="n"/>
      <c r="B138" s="227" t="n"/>
      <c r="C138" s="227" t="n"/>
      <c r="D138" s="228" t="n"/>
      <c r="E138" s="227" t="n"/>
      <c r="F138" s="228" t="n"/>
      <c r="G138" s="227" t="n"/>
      <c r="H138" s="227" t="n"/>
      <c r="I138" s="227" t="n"/>
      <c r="J138" s="227" t="n"/>
      <c r="K138" s="227" t="n"/>
      <c r="L138" s="227" t="n"/>
      <c r="M138" s="227" t="n"/>
      <c r="N138" s="227" t="n"/>
      <c r="O138" s="229" t="n"/>
      <c r="P138" s="230" t="n"/>
      <c r="Q138" s="227" t="n"/>
      <c r="R138" s="15">
        <f>IFERROR(IF(OR([@案件狀況]="已破獲未移送",[@案件狀況]="已移送"),"是","否"),"")</f>
        <v/>
      </c>
      <c r="S138" s="15">
        <f>IFERROR(IF([@發生時間]="","",YEAR([@發生時間])-1911),"")</f>
        <v/>
      </c>
      <c r="T138" s="15">
        <f>IFERROR(INDEX(案類分類清單,MATCH([@案類],案類名稱清單,0)),"")</f>
        <v/>
      </c>
      <c r="U138" s="15">
        <f>IFERROR(INDEX(納入全般清單,MATCH([@案類],案類名稱清單,0)),"否")</f>
        <v/>
      </c>
      <c r="V138" s="15">
        <f>IFERROR([@歸屬年度]*10000+IFERROR(MATCH([@案件狀況],{"尚未偵破","已破獲未移送","已移送","簽結"},0),0)*100+ROW(),0)</f>
        <v/>
      </c>
      <c r="W138" s="227" t="n"/>
      <c r="X138" s="15">
        <f>IFERROR(IF([@績效類別]="","是","否"),"是")</f>
        <v/>
      </c>
      <c r="Y138" s="227" t="n"/>
    </row>
    <row r="139" ht="30" customHeight="1">
      <c r="A139" s="227" t="n"/>
      <c r="B139" s="227" t="n"/>
      <c r="C139" s="227" t="n"/>
      <c r="D139" s="228" t="n"/>
      <c r="E139" s="227" t="n"/>
      <c r="F139" s="228" t="n"/>
      <c r="G139" s="227" t="n"/>
      <c r="H139" s="227" t="n"/>
      <c r="I139" s="227" t="n"/>
      <c r="J139" s="227" t="n"/>
      <c r="K139" s="227" t="n"/>
      <c r="L139" s="227" t="n"/>
      <c r="M139" s="227" t="n"/>
      <c r="N139" s="227" t="n"/>
      <c r="O139" s="229" t="n"/>
      <c r="P139" s="230" t="n"/>
      <c r="Q139" s="227" t="n"/>
      <c r="R139" s="15">
        <f>IFERROR(IF(OR([@案件狀況]="已破獲未移送",[@案件狀況]="已移送"),"是","否"),"")</f>
        <v/>
      </c>
      <c r="S139" s="15">
        <f>IFERROR(IF([@發生時間]="","",YEAR([@發生時間])-1911),"")</f>
        <v/>
      </c>
      <c r="T139" s="15">
        <f>IFERROR(INDEX(案類分類清單,MATCH([@案類],案類名稱清單,0)),"")</f>
        <v/>
      </c>
      <c r="U139" s="15">
        <f>IFERROR(INDEX(納入全般清單,MATCH([@案類],案類名稱清單,0)),"否")</f>
        <v/>
      </c>
      <c r="V139" s="15">
        <f>IFERROR([@歸屬年度]*10000+IFERROR(MATCH([@案件狀況],{"尚未偵破","已破獲未移送","已移送","簽結"},0),0)*100+ROW(),0)</f>
        <v/>
      </c>
      <c r="W139" s="227" t="n"/>
      <c r="X139" s="15">
        <f>IFERROR(IF([@績效類別]="","是","否"),"是")</f>
        <v/>
      </c>
      <c r="Y139" s="227" t="n"/>
    </row>
    <row r="140" ht="30" customHeight="1">
      <c r="A140" s="227" t="n"/>
      <c r="B140" s="227" t="n"/>
      <c r="C140" s="227" t="n"/>
      <c r="D140" s="228" t="n"/>
      <c r="E140" s="227" t="n"/>
      <c r="F140" s="228" t="n"/>
      <c r="G140" s="227" t="n"/>
      <c r="H140" s="227" t="n"/>
      <c r="I140" s="227" t="n"/>
      <c r="J140" s="227" t="n"/>
      <c r="K140" s="227" t="n"/>
      <c r="L140" s="227" t="n"/>
      <c r="M140" s="227" t="n"/>
      <c r="N140" s="227" t="n"/>
      <c r="O140" s="229" t="n"/>
      <c r="P140" s="230" t="n"/>
      <c r="Q140" s="227" t="n"/>
      <c r="R140" s="15">
        <f>IFERROR(IF(OR([@案件狀況]="已破獲未移送",[@案件狀況]="已移送"),"是","否"),"")</f>
        <v/>
      </c>
      <c r="S140" s="15">
        <f>IFERROR(IF([@發生時間]="","",YEAR([@發生時間])-1911),"")</f>
        <v/>
      </c>
      <c r="T140" s="15">
        <f>IFERROR(INDEX(案類分類清單,MATCH([@案類],案類名稱清單,0)),"")</f>
        <v/>
      </c>
      <c r="U140" s="15">
        <f>IFERROR(INDEX(納入全般清單,MATCH([@案類],案類名稱清單,0)),"否")</f>
        <v/>
      </c>
      <c r="V140" s="15">
        <f>IFERROR([@歸屬年度]*10000+IFERROR(MATCH([@案件狀況],{"尚未偵破","已破獲未移送","已移送","簽結"},0),0)*100+ROW(),0)</f>
        <v/>
      </c>
      <c r="W140" s="227" t="n"/>
      <c r="X140" s="15">
        <f>IFERROR(IF([@績效類別]="","是","否"),"是")</f>
        <v/>
      </c>
      <c r="Y140" s="227" t="n"/>
    </row>
    <row r="141" ht="30" customHeight="1">
      <c r="A141" s="227" t="n"/>
      <c r="B141" s="227" t="n"/>
      <c r="C141" s="227" t="n"/>
      <c r="D141" s="228" t="n"/>
      <c r="E141" s="227" t="n"/>
      <c r="F141" s="228" t="n"/>
      <c r="G141" s="227" t="n"/>
      <c r="H141" s="227" t="n"/>
      <c r="I141" s="227" t="n"/>
      <c r="J141" s="227" t="n"/>
      <c r="K141" s="227" t="n"/>
      <c r="L141" s="227" t="n"/>
      <c r="M141" s="227" t="n"/>
      <c r="N141" s="227" t="n"/>
      <c r="O141" s="229" t="n"/>
      <c r="P141" s="230" t="n"/>
      <c r="Q141" s="227" t="n"/>
      <c r="R141" s="15">
        <f>IFERROR(IF(OR([@案件狀況]="已破獲未移送",[@案件狀況]="已移送"),"是","否"),"")</f>
        <v/>
      </c>
      <c r="S141" s="15">
        <f>IFERROR(IF([@發生時間]="","",YEAR([@發生時間])-1911),"")</f>
        <v/>
      </c>
      <c r="T141" s="15">
        <f>IFERROR(INDEX(案類分類清單,MATCH([@案類],案類名稱清單,0)),"")</f>
        <v/>
      </c>
      <c r="U141" s="15">
        <f>IFERROR(INDEX(納入全般清單,MATCH([@案類],案類名稱清單,0)),"否")</f>
        <v/>
      </c>
      <c r="V141" s="15">
        <f>IFERROR([@歸屬年度]*10000+IFERROR(MATCH([@案件狀況],{"尚未偵破","已破獲未移送","已移送","簽結"},0),0)*100+ROW(),0)</f>
        <v/>
      </c>
      <c r="W141" s="227" t="n"/>
      <c r="X141" s="15">
        <f>IFERROR(IF([@績效類別]="","是","否"),"是")</f>
        <v/>
      </c>
      <c r="Y141" s="227" t="n"/>
    </row>
    <row r="142" ht="30" customHeight="1">
      <c r="A142" s="227" t="n"/>
      <c r="B142" s="227" t="n"/>
      <c r="C142" s="227" t="n"/>
      <c r="D142" s="228" t="n"/>
      <c r="E142" s="227" t="n"/>
      <c r="F142" s="228" t="n"/>
      <c r="G142" s="227" t="n"/>
      <c r="H142" s="227" t="n"/>
      <c r="I142" s="227" t="n"/>
      <c r="J142" s="227" t="n"/>
      <c r="K142" s="227" t="n"/>
      <c r="L142" s="227" t="n"/>
      <c r="M142" s="227" t="n"/>
      <c r="N142" s="227" t="n"/>
      <c r="O142" s="229" t="n"/>
      <c r="P142" s="230" t="n"/>
      <c r="Q142" s="227" t="n"/>
      <c r="R142" s="15">
        <f>IFERROR(IF(OR([@案件狀況]="已破獲未移送",[@案件狀況]="已移送"),"是","否"),"")</f>
        <v/>
      </c>
      <c r="S142" s="15">
        <f>IFERROR(IF([@發生時間]="","",YEAR([@發生時間])-1911),"")</f>
        <v/>
      </c>
      <c r="T142" s="15">
        <f>IFERROR(INDEX(案類分類清單,MATCH([@案類],案類名稱清單,0)),"")</f>
        <v/>
      </c>
      <c r="U142" s="15">
        <f>IFERROR(INDEX(納入全般清單,MATCH([@案類],案類名稱清單,0)),"否")</f>
        <v/>
      </c>
      <c r="V142" s="15">
        <f>IFERROR([@歸屬年度]*10000+IFERROR(MATCH([@案件狀況],{"尚未偵破","已破獲未移送","已移送","簽結"},0),0)*100+ROW(),0)</f>
        <v/>
      </c>
      <c r="W142" s="227" t="n"/>
      <c r="X142" s="15">
        <f>IFERROR(IF([@績效類別]="","是","否"),"是")</f>
        <v/>
      </c>
      <c r="Y142" s="227" t="n"/>
    </row>
    <row r="143" ht="30" customHeight="1">
      <c r="A143" s="227" t="n"/>
      <c r="B143" s="227" t="n"/>
      <c r="C143" s="227" t="n"/>
      <c r="D143" s="228" t="n"/>
      <c r="E143" s="227" t="n"/>
      <c r="F143" s="228" t="n"/>
      <c r="G143" s="227" t="n"/>
      <c r="H143" s="227" t="n"/>
      <c r="I143" s="227" t="n"/>
      <c r="J143" s="227" t="n"/>
      <c r="K143" s="227" t="n"/>
      <c r="L143" s="227" t="n"/>
      <c r="M143" s="227" t="n"/>
      <c r="N143" s="227" t="n"/>
      <c r="O143" s="229" t="n"/>
      <c r="P143" s="230" t="n"/>
      <c r="Q143" s="227" t="n"/>
      <c r="R143" s="15">
        <f>IFERROR(IF(OR([@案件狀況]="已破獲未移送",[@案件狀況]="已移送"),"是","否"),"")</f>
        <v/>
      </c>
      <c r="S143" s="15">
        <f>IFERROR(IF([@發生時間]="","",YEAR([@發生時間])-1911),"")</f>
        <v/>
      </c>
      <c r="T143" s="15">
        <f>IFERROR(INDEX(案類分類清單,MATCH([@案類],案類名稱清單,0)),"")</f>
        <v/>
      </c>
      <c r="U143" s="15">
        <f>IFERROR(INDEX(納入全般清單,MATCH([@案類],案類名稱清單,0)),"否")</f>
        <v/>
      </c>
      <c r="V143" s="15">
        <f>IFERROR([@歸屬年度]*10000+IFERROR(MATCH([@案件狀況],{"尚未偵破","已破獲未移送","已移送","簽結"},0),0)*100+ROW(),0)</f>
        <v/>
      </c>
      <c r="W143" s="227" t="n"/>
      <c r="X143" s="15">
        <f>IFERROR(IF([@績效類別]="","是","否"),"是")</f>
        <v/>
      </c>
      <c r="Y143" s="227" t="n"/>
    </row>
    <row r="144" ht="30" customHeight="1">
      <c r="A144" s="227" t="n"/>
      <c r="B144" s="227" t="n"/>
      <c r="C144" s="227" t="n"/>
      <c r="D144" s="228" t="n"/>
      <c r="E144" s="227" t="n"/>
      <c r="F144" s="228" t="n"/>
      <c r="G144" s="227" t="n"/>
      <c r="H144" s="227" t="n"/>
      <c r="I144" s="227" t="n"/>
      <c r="J144" s="227" t="n"/>
      <c r="K144" s="227" t="n"/>
      <c r="L144" s="227" t="n"/>
      <c r="M144" s="227" t="n"/>
      <c r="N144" s="227" t="n"/>
      <c r="O144" s="229" t="n"/>
      <c r="P144" s="230" t="n"/>
      <c r="Q144" s="227" t="n"/>
      <c r="R144" s="15">
        <f>IFERROR(IF(OR([@案件狀況]="已破獲未移送",[@案件狀況]="已移送"),"是","否"),"")</f>
        <v/>
      </c>
      <c r="S144" s="15">
        <f>IFERROR(IF([@發生時間]="","",YEAR([@發生時間])-1911),"")</f>
        <v/>
      </c>
      <c r="T144" s="15">
        <f>IFERROR(INDEX(案類分類清單,MATCH([@案類],案類名稱清單,0)),"")</f>
        <v/>
      </c>
      <c r="U144" s="15">
        <f>IFERROR(INDEX(納入全般清單,MATCH([@案類],案類名稱清單,0)),"否")</f>
        <v/>
      </c>
      <c r="V144" s="15">
        <f>IFERROR([@歸屬年度]*10000+IFERROR(MATCH([@案件狀況],{"尚未偵破","已破獲未移送","已移送","簽結"},0),0)*100+ROW(),0)</f>
        <v/>
      </c>
      <c r="W144" s="227" t="n"/>
      <c r="X144" s="15">
        <f>IFERROR(IF([@績效類別]="","是","否"),"是")</f>
        <v/>
      </c>
      <c r="Y144" s="227" t="n"/>
    </row>
    <row r="145" ht="30" customHeight="1">
      <c r="A145" s="227" t="n"/>
      <c r="B145" s="227" t="n"/>
      <c r="C145" s="227" t="n"/>
      <c r="D145" s="228" t="n"/>
      <c r="E145" s="227" t="n"/>
      <c r="F145" s="228" t="n"/>
      <c r="G145" s="227" t="n"/>
      <c r="H145" s="227" t="n"/>
      <c r="I145" s="227" t="n"/>
      <c r="J145" s="227" t="n"/>
      <c r="K145" s="227" t="n"/>
      <c r="L145" s="227" t="n"/>
      <c r="M145" s="227" t="n"/>
      <c r="N145" s="227" t="n"/>
      <c r="O145" s="229" t="n"/>
      <c r="P145" s="230" t="n"/>
      <c r="Q145" s="227" t="n"/>
      <c r="R145" s="15">
        <f>IFERROR(IF(OR([@案件狀況]="已破獲未移送",[@案件狀況]="已移送"),"是","否"),"")</f>
        <v/>
      </c>
      <c r="S145" s="15">
        <f>IFERROR(IF([@發生時間]="","",YEAR([@發生時間])-1911),"")</f>
        <v/>
      </c>
      <c r="T145" s="15">
        <f>IFERROR(INDEX(案類分類清單,MATCH([@案類],案類名稱清單,0)),"")</f>
        <v/>
      </c>
      <c r="U145" s="15">
        <f>IFERROR(INDEX(納入全般清單,MATCH([@案類],案類名稱清單,0)),"否")</f>
        <v/>
      </c>
      <c r="V145" s="15">
        <f>IFERROR([@歸屬年度]*10000+IFERROR(MATCH([@案件狀況],{"尚未偵破","已破獲未移送","已移送","簽結"},0),0)*100+ROW(),0)</f>
        <v/>
      </c>
      <c r="W145" s="227" t="n"/>
      <c r="X145" s="15">
        <f>IFERROR(IF([@績效類別]="","是","否"),"是")</f>
        <v/>
      </c>
      <c r="Y145" s="227" t="n"/>
    </row>
    <row r="146" ht="30" customHeight="1">
      <c r="A146" s="227" t="n"/>
      <c r="B146" s="227" t="n"/>
      <c r="C146" s="227" t="n"/>
      <c r="D146" s="228" t="n"/>
      <c r="E146" s="227" t="n"/>
      <c r="F146" s="228" t="n"/>
      <c r="G146" s="227" t="n"/>
      <c r="H146" s="227" t="n"/>
      <c r="I146" s="227" t="n"/>
      <c r="J146" s="227" t="n"/>
      <c r="K146" s="227" t="n"/>
      <c r="L146" s="227" t="n"/>
      <c r="M146" s="227" t="n"/>
      <c r="N146" s="227" t="n"/>
      <c r="O146" s="229" t="n"/>
      <c r="P146" s="230" t="n"/>
      <c r="Q146" s="227" t="n"/>
      <c r="R146" s="15">
        <f>IFERROR(IF(OR([@案件狀況]="已破獲未移送",[@案件狀況]="已移送"),"是","否"),"")</f>
        <v/>
      </c>
      <c r="S146" s="15">
        <f>IFERROR(IF([@發生時間]="","",YEAR([@發生時間])-1911),"")</f>
        <v/>
      </c>
      <c r="T146" s="15">
        <f>IFERROR(INDEX(案類分類清單,MATCH([@案類],案類名稱清單,0)),"")</f>
        <v/>
      </c>
      <c r="U146" s="15">
        <f>IFERROR(INDEX(納入全般清單,MATCH([@案類],案類名稱清單,0)),"否")</f>
        <v/>
      </c>
      <c r="V146" s="15">
        <f>IFERROR([@歸屬年度]*10000+IFERROR(MATCH([@案件狀況],{"尚未偵破","已破獲未移送","已移送","簽結"},0),0)*100+ROW(),0)</f>
        <v/>
      </c>
      <c r="W146" s="227" t="n"/>
      <c r="X146" s="15">
        <f>IFERROR(IF([@績效類別]="","是","否"),"是")</f>
        <v/>
      </c>
      <c r="Y146" s="227" t="n"/>
    </row>
    <row r="147" ht="30" customHeight="1">
      <c r="A147" s="227" t="n"/>
      <c r="B147" s="227" t="n"/>
      <c r="C147" s="227" t="n"/>
      <c r="D147" s="228" t="n"/>
      <c r="E147" s="227" t="n"/>
      <c r="F147" s="228" t="n"/>
      <c r="G147" s="227" t="n"/>
      <c r="H147" s="227" t="n"/>
      <c r="I147" s="227" t="n"/>
      <c r="J147" s="227" t="n"/>
      <c r="K147" s="227" t="n"/>
      <c r="L147" s="227" t="n"/>
      <c r="M147" s="227" t="n"/>
      <c r="N147" s="227" t="n"/>
      <c r="O147" s="229" t="n"/>
      <c r="P147" s="230" t="n"/>
      <c r="Q147" s="227" t="n"/>
      <c r="R147" s="15">
        <f>IFERROR(IF(OR([@案件狀況]="已破獲未移送",[@案件狀況]="已移送"),"是","否"),"")</f>
        <v/>
      </c>
      <c r="S147" s="15">
        <f>IFERROR(IF([@發生時間]="","",YEAR([@發生時間])-1911),"")</f>
        <v/>
      </c>
      <c r="T147" s="15">
        <f>IFERROR(INDEX(案類分類清單,MATCH([@案類],案類名稱清單,0)),"")</f>
        <v/>
      </c>
      <c r="U147" s="15">
        <f>IFERROR(INDEX(納入全般清單,MATCH([@案類],案類名稱清單,0)),"否")</f>
        <v/>
      </c>
      <c r="V147" s="15">
        <f>IFERROR([@歸屬年度]*10000+IFERROR(MATCH([@案件狀況],{"尚未偵破","已破獲未移送","已移送","簽結"},0),0)*100+ROW(),0)</f>
        <v/>
      </c>
      <c r="W147" s="227" t="n"/>
      <c r="X147" s="15">
        <f>IFERROR(IF([@績效類別]="","是","否"),"是")</f>
        <v/>
      </c>
      <c r="Y147" s="227" t="n"/>
    </row>
    <row r="148" ht="30" customHeight="1">
      <c r="A148" s="227" t="n"/>
      <c r="B148" s="227" t="n"/>
      <c r="C148" s="227" t="n"/>
      <c r="D148" s="228" t="n"/>
      <c r="E148" s="227" t="n"/>
      <c r="F148" s="228" t="n"/>
      <c r="G148" s="227" t="n"/>
      <c r="H148" s="227" t="n"/>
      <c r="I148" s="227" t="n"/>
      <c r="J148" s="227" t="n"/>
      <c r="K148" s="227" t="n"/>
      <c r="L148" s="227" t="n"/>
      <c r="M148" s="227" t="n"/>
      <c r="N148" s="227" t="n"/>
      <c r="O148" s="229" t="n"/>
      <c r="P148" s="230" t="n"/>
      <c r="Q148" s="227" t="n"/>
      <c r="R148" s="15">
        <f>IFERROR(IF(OR([@案件狀況]="已破獲未移送",[@案件狀況]="已移送"),"是","否"),"")</f>
        <v/>
      </c>
      <c r="S148" s="15">
        <f>IFERROR(IF([@發生時間]="","",YEAR([@發生時間])-1911),"")</f>
        <v/>
      </c>
      <c r="T148" s="15">
        <f>IFERROR(INDEX(案類分類清單,MATCH([@案類],案類名稱清單,0)),"")</f>
        <v/>
      </c>
      <c r="U148" s="15">
        <f>IFERROR(INDEX(納入全般清單,MATCH([@案類],案類名稱清單,0)),"否")</f>
        <v/>
      </c>
      <c r="V148" s="15">
        <f>IFERROR([@歸屬年度]*10000+IFERROR(MATCH([@案件狀況],{"尚未偵破","已破獲未移送","已移送","簽結"},0),0)*100+ROW(),0)</f>
        <v/>
      </c>
      <c r="W148" s="227" t="n"/>
      <c r="X148" s="15">
        <f>IFERROR(IF([@績效類別]="","是","否"),"是")</f>
        <v/>
      </c>
      <c r="Y148" s="227" t="n"/>
    </row>
    <row r="149" ht="30" customHeight="1">
      <c r="A149" s="227" t="n"/>
      <c r="B149" s="227" t="n"/>
      <c r="C149" s="227" t="n"/>
      <c r="D149" s="228" t="n"/>
      <c r="E149" s="227" t="n"/>
      <c r="F149" s="228" t="n"/>
      <c r="G149" s="227" t="n"/>
      <c r="H149" s="227" t="n"/>
      <c r="I149" s="227" t="n"/>
      <c r="J149" s="227" t="n"/>
      <c r="K149" s="227" t="n"/>
      <c r="L149" s="227" t="n"/>
      <c r="M149" s="227" t="n"/>
      <c r="N149" s="227" t="n"/>
      <c r="O149" s="229" t="n"/>
      <c r="P149" s="230" t="n"/>
      <c r="Q149" s="227" t="n"/>
      <c r="R149" s="15">
        <f>IFERROR(IF(OR([@案件狀況]="已破獲未移送",[@案件狀況]="已移送"),"是","否"),"")</f>
        <v/>
      </c>
      <c r="S149" s="15">
        <f>IFERROR(IF([@發生時間]="","",YEAR([@發生時間])-1911),"")</f>
        <v/>
      </c>
      <c r="T149" s="15">
        <f>IFERROR(INDEX(案類分類清單,MATCH([@案類],案類名稱清單,0)),"")</f>
        <v/>
      </c>
      <c r="U149" s="15">
        <f>IFERROR(INDEX(納入全般清單,MATCH([@案類],案類名稱清單,0)),"否")</f>
        <v/>
      </c>
      <c r="V149" s="15">
        <f>IFERROR([@歸屬年度]*10000+IFERROR(MATCH([@案件狀況],{"尚未偵破","已破獲未移送","已移送","簽結"},0),0)*100+ROW(),0)</f>
        <v/>
      </c>
      <c r="W149" s="227" t="n"/>
      <c r="X149" s="15">
        <f>IFERROR(IF([@績效類別]="","是","否"),"是")</f>
        <v/>
      </c>
      <c r="Y149" s="227" t="n"/>
    </row>
    <row r="150" ht="30" customHeight="1">
      <c r="A150" s="227" t="n"/>
      <c r="B150" s="227" t="n"/>
      <c r="C150" s="227" t="n"/>
      <c r="D150" s="228" t="n"/>
      <c r="E150" s="227" t="n"/>
      <c r="F150" s="228" t="n"/>
      <c r="G150" s="227" t="n"/>
      <c r="H150" s="227" t="n"/>
      <c r="I150" s="227" t="n"/>
      <c r="J150" s="227" t="n"/>
      <c r="K150" s="227" t="n"/>
      <c r="L150" s="227" t="n"/>
      <c r="M150" s="227" t="n"/>
      <c r="N150" s="227" t="n"/>
      <c r="O150" s="229" t="n"/>
      <c r="P150" s="230" t="n"/>
      <c r="Q150" s="227" t="n"/>
      <c r="R150" s="15">
        <f>IFERROR(IF(OR([@案件狀況]="已破獲未移送",[@案件狀況]="已移送"),"是","否"),"")</f>
        <v/>
      </c>
      <c r="S150" s="15">
        <f>IFERROR(IF([@發生時間]="","",YEAR([@發生時間])-1911),"")</f>
        <v/>
      </c>
      <c r="T150" s="15">
        <f>IFERROR(INDEX(案類分類清單,MATCH([@案類],案類名稱清單,0)),"")</f>
        <v/>
      </c>
      <c r="U150" s="15">
        <f>IFERROR(INDEX(納入全般清單,MATCH([@案類],案類名稱清單,0)),"否")</f>
        <v/>
      </c>
      <c r="V150" s="15">
        <f>IFERROR([@歸屬年度]*10000+IFERROR(MATCH([@案件狀況],{"尚未偵破","已破獲未移送","已移送","簽結"},0),0)*100+ROW(),0)</f>
        <v/>
      </c>
      <c r="W150" s="227" t="n"/>
      <c r="X150" s="15">
        <f>IFERROR(IF([@績效類別]="","是","否"),"是")</f>
        <v/>
      </c>
      <c r="Y150" s="227" t="n"/>
    </row>
    <row r="151" ht="30" customHeight="1">
      <c r="A151" s="227" t="n"/>
      <c r="B151" s="227" t="n"/>
      <c r="C151" s="227" t="n"/>
      <c r="D151" s="228" t="n"/>
      <c r="E151" s="227" t="n"/>
      <c r="F151" s="228" t="n"/>
      <c r="G151" s="227" t="n"/>
      <c r="H151" s="227" t="n"/>
      <c r="I151" s="227" t="n"/>
      <c r="J151" s="227" t="n"/>
      <c r="K151" s="227" t="n"/>
      <c r="L151" s="227" t="n"/>
      <c r="M151" s="227" t="n"/>
      <c r="N151" s="227" t="n"/>
      <c r="O151" s="229" t="n"/>
      <c r="P151" s="230" t="n"/>
      <c r="Q151" s="227" t="n"/>
      <c r="R151" s="15">
        <f>IFERROR(IF(OR([@案件狀況]="已破獲未移送",[@案件狀況]="已移送"),"是","否"),"")</f>
        <v/>
      </c>
      <c r="S151" s="15">
        <f>IFERROR(IF([@發生時間]="","",YEAR([@發生時間])-1911),"")</f>
        <v/>
      </c>
      <c r="T151" s="15">
        <f>IFERROR(INDEX(案類分類清單,MATCH([@案類],案類名稱清單,0)),"")</f>
        <v/>
      </c>
      <c r="U151" s="15">
        <f>IFERROR(INDEX(納入全般清單,MATCH([@案類],案類名稱清單,0)),"否")</f>
        <v/>
      </c>
      <c r="V151" s="15">
        <f>IFERROR([@歸屬年度]*10000+IFERROR(MATCH([@案件狀況],{"尚未偵破","已破獲未移送","已移送","簽結"},0),0)*100+ROW(),0)</f>
        <v/>
      </c>
      <c r="W151" s="227" t="n"/>
      <c r="X151" s="15">
        <f>IFERROR(IF([@績效類別]="","是","否"),"是")</f>
        <v/>
      </c>
      <c r="Y151" s="227" t="n"/>
    </row>
    <row r="152" ht="30" customHeight="1">
      <c r="A152" s="227" t="n"/>
      <c r="B152" s="227" t="n"/>
      <c r="C152" s="227" t="n"/>
      <c r="D152" s="228" t="n"/>
      <c r="E152" s="227" t="n"/>
      <c r="F152" s="228" t="n"/>
      <c r="G152" s="227" t="n"/>
      <c r="H152" s="227" t="n"/>
      <c r="I152" s="227" t="n"/>
      <c r="J152" s="227" t="n"/>
      <c r="K152" s="227" t="n"/>
      <c r="L152" s="227" t="n"/>
      <c r="M152" s="227" t="n"/>
      <c r="N152" s="227" t="n"/>
      <c r="O152" s="229" t="n"/>
      <c r="P152" s="230" t="n"/>
      <c r="Q152" s="227" t="n"/>
      <c r="R152" s="15">
        <f>IFERROR(IF(OR([@案件狀況]="已破獲未移送",[@案件狀況]="已移送"),"是","否"),"")</f>
        <v/>
      </c>
      <c r="S152" s="15">
        <f>IFERROR(IF([@發生時間]="","",YEAR([@發生時間])-1911),"")</f>
        <v/>
      </c>
      <c r="T152" s="15">
        <f>IFERROR(INDEX(案類分類清單,MATCH([@案類],案類名稱清單,0)),"")</f>
        <v/>
      </c>
      <c r="U152" s="15">
        <f>IFERROR(INDEX(納入全般清單,MATCH([@案類],案類名稱清單,0)),"否")</f>
        <v/>
      </c>
      <c r="V152" s="15">
        <f>IFERROR([@歸屬年度]*10000+IFERROR(MATCH([@案件狀況],{"尚未偵破","已破獲未移送","已移送","簽結"},0),0)*100+ROW(),0)</f>
        <v/>
      </c>
      <c r="W152" s="227" t="n"/>
      <c r="X152" s="15">
        <f>IFERROR(IF([@績效類別]="","是","否"),"是")</f>
        <v/>
      </c>
      <c r="Y152" s="227" t="n"/>
    </row>
    <row r="153" ht="30" customHeight="1">
      <c r="A153" s="227" t="n"/>
      <c r="B153" s="227" t="n"/>
      <c r="C153" s="227" t="n"/>
      <c r="D153" s="228" t="n"/>
      <c r="E153" s="227" t="n"/>
      <c r="F153" s="228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  <c r="O153" s="229" t="n"/>
      <c r="P153" s="230" t="n"/>
      <c r="Q153" s="227" t="n"/>
      <c r="R153" s="15">
        <f>IFERROR(IF(OR([@案件狀況]="已破獲未移送",[@案件狀況]="已移送"),"是","否"),"")</f>
        <v/>
      </c>
      <c r="S153" s="15">
        <f>IFERROR(IF([@發生時間]="","",YEAR([@發生時間])-1911),"")</f>
        <v/>
      </c>
      <c r="T153" s="15">
        <f>IFERROR(INDEX(案類分類清單,MATCH([@案類],案類名稱清單,0)),"")</f>
        <v/>
      </c>
      <c r="U153" s="15">
        <f>IFERROR(INDEX(納入全般清單,MATCH([@案類],案類名稱清單,0)),"否")</f>
        <v/>
      </c>
      <c r="V153" s="15">
        <f>IFERROR([@歸屬年度]*10000+IFERROR(MATCH([@案件狀況],{"尚未偵破","已破獲未移送","已移送","簽結"},0),0)*100+ROW(),0)</f>
        <v/>
      </c>
      <c r="W153" s="227" t="n"/>
      <c r="X153" s="15">
        <f>IFERROR(IF([@績效類別]="","是","否"),"是")</f>
        <v/>
      </c>
      <c r="Y153" s="227" t="n"/>
    </row>
    <row r="154" ht="30" customHeight="1">
      <c r="A154" s="227" t="n"/>
      <c r="B154" s="227" t="n"/>
      <c r="C154" s="227" t="n"/>
      <c r="D154" s="228" t="n"/>
      <c r="E154" s="227" t="n"/>
      <c r="F154" s="228" t="n"/>
      <c r="G154" s="227" t="n"/>
      <c r="H154" s="227" t="n"/>
      <c r="I154" s="227" t="n"/>
      <c r="J154" s="227" t="n"/>
      <c r="K154" s="227" t="n"/>
      <c r="L154" s="227" t="n"/>
      <c r="M154" s="227" t="n"/>
      <c r="N154" s="227" t="n"/>
      <c r="O154" s="229" t="n"/>
      <c r="P154" s="230" t="n"/>
      <c r="Q154" s="227" t="n"/>
      <c r="R154" s="15">
        <f>IFERROR(IF(OR([@案件狀況]="已破獲未移送",[@案件狀況]="已移送"),"是","否"),"")</f>
        <v/>
      </c>
      <c r="S154" s="15">
        <f>IFERROR(IF([@發生時間]="","",YEAR([@發生時間])-1911),"")</f>
        <v/>
      </c>
      <c r="T154" s="15">
        <f>IFERROR(INDEX(案類分類清單,MATCH([@案類],案類名稱清單,0)),"")</f>
        <v/>
      </c>
      <c r="U154" s="15">
        <f>IFERROR(INDEX(納入全般清單,MATCH([@案類],案類名稱清單,0)),"否")</f>
        <v/>
      </c>
      <c r="V154" s="15">
        <f>IFERROR([@歸屬年度]*10000+IFERROR(MATCH([@案件狀況],{"尚未偵破","已破獲未移送","已移送","簽結"},0),0)*100+ROW(),0)</f>
        <v/>
      </c>
      <c r="W154" s="227" t="n"/>
      <c r="X154" s="15">
        <f>IFERROR(IF([@績效類別]="","是","否"),"是")</f>
        <v/>
      </c>
      <c r="Y154" s="227" t="n"/>
    </row>
    <row r="155" ht="30" customHeight="1">
      <c r="A155" s="227" t="n"/>
      <c r="B155" s="227" t="n"/>
      <c r="C155" s="227" t="n"/>
      <c r="D155" s="228" t="n"/>
      <c r="E155" s="227" t="n"/>
      <c r="F155" s="228" t="n"/>
      <c r="G155" s="227" t="n"/>
      <c r="H155" s="227" t="n"/>
      <c r="I155" s="227" t="n"/>
      <c r="J155" s="227" t="n"/>
      <c r="K155" s="227" t="n"/>
      <c r="L155" s="227" t="n"/>
      <c r="M155" s="227" t="n"/>
      <c r="N155" s="227" t="n"/>
      <c r="O155" s="229" t="n"/>
      <c r="P155" s="230" t="n"/>
      <c r="Q155" s="227" t="n"/>
      <c r="R155" s="15">
        <f>IFERROR(IF(OR([@案件狀況]="已破獲未移送",[@案件狀況]="已移送"),"是","否"),"")</f>
        <v/>
      </c>
      <c r="S155" s="15">
        <f>IFERROR(IF([@發生時間]="","",YEAR([@發生時間])-1911),"")</f>
        <v/>
      </c>
      <c r="T155" s="15">
        <f>IFERROR(INDEX(案類分類清單,MATCH([@案類],案類名稱清單,0)),"")</f>
        <v/>
      </c>
      <c r="U155" s="15">
        <f>IFERROR(INDEX(納入全般清單,MATCH([@案類],案類名稱清單,0)),"否")</f>
        <v/>
      </c>
      <c r="V155" s="15">
        <f>IFERROR([@歸屬年度]*10000+IFERROR(MATCH([@案件狀況],{"尚未偵破","已破獲未移送","已移送","簽結"},0),0)*100+ROW(),0)</f>
        <v/>
      </c>
      <c r="W155" s="227" t="n"/>
      <c r="X155" s="15">
        <f>IFERROR(IF([@績效類別]="","是","否"),"是")</f>
        <v/>
      </c>
      <c r="Y155" s="227" t="n"/>
    </row>
    <row r="156" ht="30" customHeight="1">
      <c r="A156" s="227" t="n"/>
      <c r="B156" s="227" t="n"/>
      <c r="C156" s="227" t="n"/>
      <c r="D156" s="228" t="n"/>
      <c r="E156" s="227" t="n"/>
      <c r="F156" s="228" t="n"/>
      <c r="G156" s="227" t="n"/>
      <c r="H156" s="227" t="n"/>
      <c r="I156" s="227" t="n"/>
      <c r="J156" s="227" t="n"/>
      <c r="K156" s="227" t="n"/>
      <c r="L156" s="227" t="n"/>
      <c r="M156" s="227" t="n"/>
      <c r="N156" s="227" t="n"/>
      <c r="O156" s="229" t="n"/>
      <c r="P156" s="230" t="n"/>
      <c r="Q156" s="227" t="n"/>
      <c r="R156" s="15">
        <f>IFERROR(IF(OR([@案件狀況]="已破獲未移送",[@案件狀況]="已移送"),"是","否"),"")</f>
        <v/>
      </c>
      <c r="S156" s="15">
        <f>IFERROR(IF([@發生時間]="","",YEAR([@發生時間])-1911),"")</f>
        <v/>
      </c>
      <c r="T156" s="15">
        <f>IFERROR(INDEX(案類分類清單,MATCH([@案類],案類名稱清單,0)),"")</f>
        <v/>
      </c>
      <c r="U156" s="15">
        <f>IFERROR(INDEX(納入全般清單,MATCH([@案類],案類名稱清單,0)),"否")</f>
        <v/>
      </c>
      <c r="V156" s="15">
        <f>IFERROR([@歸屬年度]*10000+IFERROR(MATCH([@案件狀況],{"尚未偵破","已破獲未移送","已移送","簽結"},0),0)*100+ROW(),0)</f>
        <v/>
      </c>
      <c r="W156" s="227" t="n"/>
      <c r="X156" s="15">
        <f>IFERROR(IF([@績效類別]="","是","否"),"是")</f>
        <v/>
      </c>
      <c r="Y156" s="227" t="n"/>
    </row>
    <row r="157" ht="30" customHeight="1">
      <c r="A157" s="227" t="n"/>
      <c r="B157" s="227" t="n"/>
      <c r="C157" s="227" t="n"/>
      <c r="D157" s="228" t="n"/>
      <c r="E157" s="227" t="n"/>
      <c r="F157" s="228" t="n"/>
      <c r="G157" s="227" t="n"/>
      <c r="H157" s="227" t="n"/>
      <c r="I157" s="227" t="n"/>
      <c r="J157" s="227" t="n"/>
      <c r="K157" s="227" t="n"/>
      <c r="L157" s="227" t="n"/>
      <c r="M157" s="227" t="n"/>
      <c r="N157" s="227" t="n"/>
      <c r="O157" s="229" t="n"/>
      <c r="P157" s="230" t="n"/>
      <c r="Q157" s="227" t="n"/>
      <c r="R157" s="15">
        <f>IFERROR(IF(OR([@案件狀況]="已破獲未移送",[@案件狀況]="已移送"),"是","否"),"")</f>
        <v/>
      </c>
      <c r="S157" s="15">
        <f>IFERROR(IF([@發生時間]="","",YEAR([@發生時間])-1911),"")</f>
        <v/>
      </c>
      <c r="T157" s="15">
        <f>IFERROR(INDEX(案類分類清單,MATCH([@案類],案類名稱清單,0)),"")</f>
        <v/>
      </c>
      <c r="U157" s="15">
        <f>IFERROR(INDEX(納入全般清單,MATCH([@案類],案類名稱清單,0)),"否")</f>
        <v/>
      </c>
      <c r="V157" s="15">
        <f>IFERROR([@歸屬年度]*10000+IFERROR(MATCH([@案件狀況],{"尚未偵破","已破獲未移送","已移送","簽結"},0),0)*100+ROW(),0)</f>
        <v/>
      </c>
      <c r="W157" s="227" t="n"/>
      <c r="X157" s="15">
        <f>IFERROR(IF([@績效類別]="","是","否"),"是")</f>
        <v/>
      </c>
      <c r="Y157" s="227" t="n"/>
    </row>
    <row r="158" ht="30" customHeight="1">
      <c r="A158" s="227" t="n"/>
      <c r="B158" s="227" t="n"/>
      <c r="C158" s="227" t="n"/>
      <c r="D158" s="228" t="n"/>
      <c r="E158" s="227" t="n"/>
      <c r="F158" s="228" t="n"/>
      <c r="G158" s="227" t="n"/>
      <c r="H158" s="227" t="n"/>
      <c r="I158" s="227" t="n"/>
      <c r="J158" s="227" t="n"/>
      <c r="K158" s="227" t="n"/>
      <c r="L158" s="227" t="n"/>
      <c r="M158" s="227" t="n"/>
      <c r="N158" s="227" t="n"/>
      <c r="O158" s="229" t="n"/>
      <c r="P158" s="230" t="n"/>
      <c r="Q158" s="227" t="n"/>
      <c r="R158" s="15">
        <f>IFERROR(IF(OR([@案件狀況]="已破獲未移送",[@案件狀況]="已移送"),"是","否"),"")</f>
        <v/>
      </c>
      <c r="S158" s="15">
        <f>IFERROR(IF([@發生時間]="","",YEAR([@發生時間])-1911),"")</f>
        <v/>
      </c>
      <c r="T158" s="15">
        <f>IFERROR(INDEX(案類分類清單,MATCH([@案類],案類名稱清單,0)),"")</f>
        <v/>
      </c>
      <c r="U158" s="15">
        <f>IFERROR(INDEX(納入全般清單,MATCH([@案類],案類名稱清單,0)),"否")</f>
        <v/>
      </c>
      <c r="V158" s="15">
        <f>IFERROR([@歸屬年度]*10000+IFERROR(MATCH([@案件狀況],{"尚未偵破","已破獲未移送","已移送","簽結"},0),0)*100+ROW(),0)</f>
        <v/>
      </c>
      <c r="W158" s="227" t="n"/>
      <c r="X158" s="15">
        <f>IFERROR(IF([@績效類別]="","是","否"),"是")</f>
        <v/>
      </c>
      <c r="Y158" s="227" t="n"/>
    </row>
    <row r="159" ht="30" customHeight="1">
      <c r="A159" s="227" t="n"/>
      <c r="B159" s="227" t="n"/>
      <c r="C159" s="227" t="n"/>
      <c r="D159" s="228" t="n"/>
      <c r="E159" s="227" t="n"/>
      <c r="F159" s="228" t="n"/>
      <c r="G159" s="227" t="n"/>
      <c r="H159" s="227" t="n"/>
      <c r="I159" s="227" t="n"/>
      <c r="J159" s="227" t="n"/>
      <c r="K159" s="227" t="n"/>
      <c r="L159" s="227" t="n"/>
      <c r="M159" s="227" t="n"/>
      <c r="N159" s="227" t="n"/>
      <c r="O159" s="229" t="n"/>
      <c r="P159" s="230" t="n"/>
      <c r="Q159" s="227" t="n"/>
      <c r="R159" s="15">
        <f>IFERROR(IF(OR([@案件狀況]="已破獲未移送",[@案件狀況]="已移送"),"是","否"),"")</f>
        <v/>
      </c>
      <c r="S159" s="15">
        <f>IFERROR(IF([@發生時間]="","",YEAR([@發生時間])-1911),"")</f>
        <v/>
      </c>
      <c r="T159" s="15">
        <f>IFERROR(INDEX(案類分類清單,MATCH([@案類],案類名稱清單,0)),"")</f>
        <v/>
      </c>
      <c r="U159" s="15">
        <f>IFERROR(INDEX(納入全般清單,MATCH([@案類],案類名稱清單,0)),"否")</f>
        <v/>
      </c>
      <c r="V159" s="15">
        <f>IFERROR([@歸屬年度]*10000+IFERROR(MATCH([@案件狀況],{"尚未偵破","已破獲未移送","已移送","簽結"},0),0)*100+ROW(),0)</f>
        <v/>
      </c>
      <c r="W159" s="227" t="n"/>
      <c r="X159" s="15">
        <f>IFERROR(IF([@績效類別]="","是","否"),"是")</f>
        <v/>
      </c>
      <c r="Y159" s="227" t="n"/>
    </row>
    <row r="160" ht="30" customHeight="1">
      <c r="A160" s="227" t="n"/>
      <c r="B160" s="227" t="n"/>
      <c r="C160" s="227" t="n"/>
      <c r="D160" s="228" t="n"/>
      <c r="E160" s="227" t="n"/>
      <c r="F160" s="228" t="n"/>
      <c r="G160" s="227" t="n"/>
      <c r="H160" s="227" t="n"/>
      <c r="I160" s="227" t="n"/>
      <c r="J160" s="227" t="n"/>
      <c r="K160" s="227" t="n"/>
      <c r="L160" s="227" t="n"/>
      <c r="M160" s="227" t="n"/>
      <c r="N160" s="227" t="n"/>
      <c r="O160" s="229" t="n"/>
      <c r="P160" s="230" t="n"/>
      <c r="Q160" s="227" t="n"/>
      <c r="R160" s="15">
        <f>IFERROR(IF(OR([@案件狀況]="已破獲未移送",[@案件狀況]="已移送"),"是","否"),"")</f>
        <v/>
      </c>
      <c r="S160" s="15">
        <f>IFERROR(IF([@發生時間]="","",YEAR([@發生時間])-1911),"")</f>
        <v/>
      </c>
      <c r="T160" s="15">
        <f>IFERROR(INDEX(案類分類清單,MATCH([@案類],案類名稱清單,0)),"")</f>
        <v/>
      </c>
      <c r="U160" s="15">
        <f>IFERROR(INDEX(納入全般清單,MATCH([@案類],案類名稱清單,0)),"否")</f>
        <v/>
      </c>
      <c r="V160" s="15">
        <f>IFERROR([@歸屬年度]*10000+IFERROR(MATCH([@案件狀況],{"尚未偵破","已破獲未移送","已移送","簽結"},0),0)*100+ROW(),0)</f>
        <v/>
      </c>
      <c r="W160" s="227" t="n"/>
      <c r="X160" s="15">
        <f>IFERROR(IF([@績效類別]="","是","否"),"是")</f>
        <v/>
      </c>
      <c r="Y160" s="227" t="n"/>
    </row>
    <row r="161" ht="30" customHeight="1">
      <c r="A161" s="227" t="n"/>
      <c r="B161" s="227" t="n"/>
      <c r="C161" s="227" t="n"/>
      <c r="D161" s="228" t="n"/>
      <c r="E161" s="227" t="n"/>
      <c r="F161" s="228" t="n"/>
      <c r="G161" s="227" t="n"/>
      <c r="H161" s="227" t="n"/>
      <c r="I161" s="227" t="n"/>
      <c r="J161" s="227" t="n"/>
      <c r="K161" s="227" t="n"/>
      <c r="L161" s="227" t="n"/>
      <c r="M161" s="227" t="n"/>
      <c r="N161" s="227" t="n"/>
      <c r="O161" s="229" t="n"/>
      <c r="P161" s="230" t="n"/>
      <c r="Q161" s="227" t="n"/>
      <c r="R161" s="15">
        <f>IFERROR(IF(OR([@案件狀況]="已破獲未移送",[@案件狀況]="已移送"),"是","否"),"")</f>
        <v/>
      </c>
      <c r="S161" s="15">
        <f>IFERROR(IF([@發生時間]="","",YEAR([@發生時間])-1911),"")</f>
        <v/>
      </c>
      <c r="T161" s="15">
        <f>IFERROR(INDEX(案類分類清單,MATCH([@案類],案類名稱清單,0)),"")</f>
        <v/>
      </c>
      <c r="U161" s="15">
        <f>IFERROR(INDEX(納入全般清單,MATCH([@案類],案類名稱清單,0)),"否")</f>
        <v/>
      </c>
      <c r="V161" s="15">
        <f>IFERROR([@歸屬年度]*10000+IFERROR(MATCH([@案件狀況],{"尚未偵破","已破獲未移送","已移送","簽結"},0),0)*100+ROW(),0)</f>
        <v/>
      </c>
      <c r="W161" s="227" t="n"/>
      <c r="X161" s="15">
        <f>IFERROR(IF([@績效類別]="","是","否"),"是")</f>
        <v/>
      </c>
      <c r="Y161" s="227" t="n"/>
    </row>
    <row r="162" ht="30" customHeight="1">
      <c r="A162" s="227" t="n"/>
      <c r="B162" s="227" t="n"/>
      <c r="C162" s="227" t="n"/>
      <c r="D162" s="228" t="n"/>
      <c r="E162" s="227" t="n"/>
      <c r="F162" s="228" t="n"/>
      <c r="G162" s="227" t="n"/>
      <c r="H162" s="227" t="n"/>
      <c r="I162" s="227" t="n"/>
      <c r="J162" s="227" t="n"/>
      <c r="K162" s="227" t="n"/>
      <c r="L162" s="227" t="n"/>
      <c r="M162" s="227" t="n"/>
      <c r="N162" s="227" t="n"/>
      <c r="O162" s="229" t="n"/>
      <c r="P162" s="230" t="n"/>
      <c r="Q162" s="227" t="n"/>
      <c r="R162" s="15">
        <f>IFERROR(IF(OR([@案件狀況]="已破獲未移送",[@案件狀況]="已移送"),"是","否"),"")</f>
        <v/>
      </c>
      <c r="S162" s="15">
        <f>IFERROR(IF([@發生時間]="","",YEAR([@發生時間])-1911),"")</f>
        <v/>
      </c>
      <c r="T162" s="15">
        <f>IFERROR(INDEX(案類分類清單,MATCH([@案類],案類名稱清單,0)),"")</f>
        <v/>
      </c>
      <c r="U162" s="15">
        <f>IFERROR(INDEX(納入全般清單,MATCH([@案類],案類名稱清單,0)),"否")</f>
        <v/>
      </c>
      <c r="V162" s="15">
        <f>IFERROR([@歸屬年度]*10000+IFERROR(MATCH([@案件狀況],{"尚未偵破","已破獲未移送","已移送","簽結"},0),0)*100+ROW(),0)</f>
        <v/>
      </c>
      <c r="W162" s="227" t="n"/>
      <c r="X162" s="15">
        <f>IFERROR(IF([@績效類別]="","是","否"),"是")</f>
        <v/>
      </c>
      <c r="Y162" s="227" t="n"/>
    </row>
    <row r="163" ht="30" customHeight="1">
      <c r="A163" s="227" t="n"/>
      <c r="B163" s="227" t="n"/>
      <c r="C163" s="227" t="n"/>
      <c r="D163" s="228" t="n"/>
      <c r="E163" s="227" t="n"/>
      <c r="F163" s="228" t="n"/>
      <c r="G163" s="227" t="n"/>
      <c r="H163" s="227" t="n"/>
      <c r="I163" s="227" t="n"/>
      <c r="J163" s="227" t="n"/>
      <c r="K163" s="227" t="n"/>
      <c r="L163" s="227" t="n"/>
      <c r="M163" s="227" t="n"/>
      <c r="N163" s="227" t="n"/>
      <c r="O163" s="229" t="n"/>
      <c r="P163" s="230" t="n"/>
      <c r="Q163" s="227" t="n"/>
      <c r="R163" s="15">
        <f>IFERROR(IF(OR([@案件狀況]="已破獲未移送",[@案件狀況]="已移送"),"是","否"),"")</f>
        <v/>
      </c>
      <c r="S163" s="15">
        <f>IFERROR(IF([@發生時間]="","",YEAR([@發生時間])-1911),"")</f>
        <v/>
      </c>
      <c r="T163" s="15">
        <f>IFERROR(INDEX(案類分類清單,MATCH([@案類],案類名稱清單,0)),"")</f>
        <v/>
      </c>
      <c r="U163" s="15">
        <f>IFERROR(INDEX(納入全般清單,MATCH([@案類],案類名稱清單,0)),"否")</f>
        <v/>
      </c>
      <c r="V163" s="15">
        <f>IFERROR([@歸屬年度]*10000+IFERROR(MATCH([@案件狀況],{"尚未偵破","已破獲未移送","已移送","簽結"},0),0)*100+ROW(),0)</f>
        <v/>
      </c>
      <c r="W163" s="227" t="n"/>
      <c r="X163" s="15">
        <f>IFERROR(IF([@績效類別]="","是","否"),"是")</f>
        <v/>
      </c>
      <c r="Y163" s="227" t="n"/>
    </row>
    <row r="164" ht="30" customHeight="1">
      <c r="A164" s="227" t="n"/>
      <c r="B164" s="227" t="n"/>
      <c r="C164" s="227" t="n"/>
      <c r="D164" s="228" t="n"/>
      <c r="E164" s="227" t="n"/>
      <c r="F164" s="228" t="n"/>
      <c r="G164" s="227" t="n"/>
      <c r="H164" s="227" t="n"/>
      <c r="I164" s="227" t="n"/>
      <c r="J164" s="227" t="n"/>
      <c r="K164" s="227" t="n"/>
      <c r="L164" s="227" t="n"/>
      <c r="M164" s="227" t="n"/>
      <c r="N164" s="227" t="n"/>
      <c r="O164" s="229" t="n"/>
      <c r="P164" s="230" t="n"/>
      <c r="Q164" s="227" t="n"/>
      <c r="R164" s="15">
        <f>IFERROR(IF(OR([@案件狀況]="已破獲未移送",[@案件狀況]="已移送"),"是","否"),"")</f>
        <v/>
      </c>
      <c r="S164" s="15">
        <f>IFERROR(IF([@發生時間]="","",YEAR([@發生時間])-1911),"")</f>
        <v/>
      </c>
      <c r="T164" s="15">
        <f>IFERROR(INDEX(案類分類清單,MATCH([@案類],案類名稱清單,0)),"")</f>
        <v/>
      </c>
      <c r="U164" s="15">
        <f>IFERROR(INDEX(納入全般清單,MATCH([@案類],案類名稱清單,0)),"否")</f>
        <v/>
      </c>
      <c r="V164" s="15">
        <f>IFERROR([@歸屬年度]*10000+IFERROR(MATCH([@案件狀況],{"尚未偵破","已破獲未移送","已移送","簽結"},0),0)*100+ROW(),0)</f>
        <v/>
      </c>
      <c r="W164" s="227" t="n"/>
      <c r="X164" s="15">
        <f>IFERROR(IF([@績效類別]="","是","否"),"是")</f>
        <v/>
      </c>
      <c r="Y164" s="227" t="n"/>
    </row>
    <row r="165" ht="30" customHeight="1">
      <c r="A165" s="227" t="n"/>
      <c r="B165" s="227" t="n"/>
      <c r="C165" s="227" t="n"/>
      <c r="D165" s="228" t="n"/>
      <c r="E165" s="227" t="n"/>
      <c r="F165" s="228" t="n"/>
      <c r="G165" s="227" t="n"/>
      <c r="H165" s="227" t="n"/>
      <c r="I165" s="227" t="n"/>
      <c r="J165" s="227" t="n"/>
      <c r="K165" s="227" t="n"/>
      <c r="L165" s="227" t="n"/>
      <c r="M165" s="227" t="n"/>
      <c r="N165" s="227" t="n"/>
      <c r="O165" s="229" t="n"/>
      <c r="P165" s="230" t="n"/>
      <c r="Q165" s="227" t="n"/>
      <c r="R165" s="15">
        <f>IFERROR(IF(OR([@案件狀況]="已破獲未移送",[@案件狀況]="已移送"),"是","否"),"")</f>
        <v/>
      </c>
      <c r="S165" s="15">
        <f>IFERROR(IF([@發生時間]="","",YEAR([@發生時間])-1911),"")</f>
        <v/>
      </c>
      <c r="T165" s="15">
        <f>IFERROR(INDEX(案類分類清單,MATCH([@案類],案類名稱清單,0)),"")</f>
        <v/>
      </c>
      <c r="U165" s="15">
        <f>IFERROR(INDEX(納入全般清單,MATCH([@案類],案類名稱清單,0)),"否")</f>
        <v/>
      </c>
      <c r="V165" s="15">
        <f>IFERROR([@歸屬年度]*10000+IFERROR(MATCH([@案件狀況],{"尚未偵破","已破獲未移送","已移送","簽結"},0),0)*100+ROW(),0)</f>
        <v/>
      </c>
      <c r="W165" s="227" t="n"/>
      <c r="X165" s="15">
        <f>IFERROR(IF([@績效類別]="","是","否"),"是")</f>
        <v/>
      </c>
      <c r="Y165" s="227" t="n"/>
    </row>
    <row r="166" ht="30" customHeight="1">
      <c r="A166" s="227" t="n"/>
      <c r="B166" s="227" t="n"/>
      <c r="C166" s="227" t="n"/>
      <c r="D166" s="228" t="n"/>
      <c r="E166" s="227" t="n"/>
      <c r="F166" s="228" t="n"/>
      <c r="G166" s="227" t="n"/>
      <c r="H166" s="227" t="n"/>
      <c r="I166" s="227" t="n"/>
      <c r="J166" s="227" t="n"/>
      <c r="K166" s="227" t="n"/>
      <c r="L166" s="227" t="n"/>
      <c r="M166" s="227" t="n"/>
      <c r="N166" s="227" t="n"/>
      <c r="O166" s="229" t="n"/>
      <c r="P166" s="230" t="n"/>
      <c r="Q166" s="227" t="n"/>
      <c r="R166" s="15">
        <f>IFERROR(IF(OR([@案件狀況]="已破獲未移送",[@案件狀況]="已移送"),"是","否"),"")</f>
        <v/>
      </c>
      <c r="S166" s="15">
        <f>IFERROR(IF([@發生時間]="","",YEAR([@發生時間])-1911),"")</f>
        <v/>
      </c>
      <c r="T166" s="15">
        <f>IFERROR(INDEX(案類分類清單,MATCH([@案類],案類名稱清單,0)),"")</f>
        <v/>
      </c>
      <c r="U166" s="15">
        <f>IFERROR(INDEX(納入全般清單,MATCH([@案類],案類名稱清單,0)),"否")</f>
        <v/>
      </c>
      <c r="V166" s="15">
        <f>IFERROR([@歸屬年度]*10000+IFERROR(MATCH([@案件狀況],{"尚未偵破","已破獲未移送","已移送","簽結"},0),0)*100+ROW(),0)</f>
        <v/>
      </c>
      <c r="W166" s="227" t="n"/>
      <c r="X166" s="15">
        <f>IFERROR(IF([@績效類別]="","是","否"),"是")</f>
        <v/>
      </c>
      <c r="Y166" s="227" t="n"/>
    </row>
    <row r="167" ht="30" customHeight="1">
      <c r="A167" s="227" t="n"/>
      <c r="B167" s="227" t="n"/>
      <c r="C167" s="227" t="n"/>
      <c r="D167" s="228" t="n"/>
      <c r="E167" s="227" t="n"/>
      <c r="F167" s="228" t="n"/>
      <c r="G167" s="227" t="n"/>
      <c r="H167" s="227" t="n"/>
      <c r="I167" s="227" t="n"/>
      <c r="J167" s="227" t="n"/>
      <c r="K167" s="227" t="n"/>
      <c r="L167" s="227" t="n"/>
      <c r="M167" s="227" t="n"/>
      <c r="N167" s="227" t="n"/>
      <c r="O167" s="229" t="n"/>
      <c r="P167" s="230" t="n"/>
      <c r="Q167" s="227" t="n"/>
      <c r="R167" s="15">
        <f>IFERROR(IF(OR([@案件狀況]="已破獲未移送",[@案件狀況]="已移送"),"是","否"),"")</f>
        <v/>
      </c>
      <c r="S167" s="15">
        <f>IFERROR(IF([@發生時間]="","",YEAR([@發生時間])-1911),"")</f>
        <v/>
      </c>
      <c r="T167" s="15">
        <f>IFERROR(INDEX(案類分類清單,MATCH([@案類],案類名稱清單,0)),"")</f>
        <v/>
      </c>
      <c r="U167" s="15">
        <f>IFERROR(INDEX(納入全般清單,MATCH([@案類],案類名稱清單,0)),"否")</f>
        <v/>
      </c>
      <c r="V167" s="15">
        <f>IFERROR([@歸屬年度]*10000+IFERROR(MATCH([@案件狀況],{"尚未偵破","已破獲未移送","已移送","簽結"},0),0)*100+ROW(),0)</f>
        <v/>
      </c>
      <c r="W167" s="227" t="n"/>
      <c r="X167" s="15">
        <f>IFERROR(IF([@績效類別]="","是","否"),"是")</f>
        <v/>
      </c>
      <c r="Y167" s="227" t="n"/>
    </row>
    <row r="168" ht="30" customHeight="1">
      <c r="A168" s="227" t="n"/>
      <c r="B168" s="227" t="n"/>
      <c r="C168" s="227" t="n"/>
      <c r="D168" s="228" t="n"/>
      <c r="E168" s="227" t="n"/>
      <c r="F168" s="228" t="n"/>
      <c r="G168" s="227" t="n"/>
      <c r="H168" s="227" t="n"/>
      <c r="I168" s="227" t="n"/>
      <c r="J168" s="227" t="n"/>
      <c r="K168" s="227" t="n"/>
      <c r="L168" s="227" t="n"/>
      <c r="M168" s="227" t="n"/>
      <c r="N168" s="227" t="n"/>
      <c r="O168" s="229" t="n"/>
      <c r="P168" s="230" t="n"/>
      <c r="Q168" s="227" t="n"/>
      <c r="R168" s="15">
        <f>IFERROR(IF(OR([@案件狀況]="已破獲未移送",[@案件狀況]="已移送"),"是","否"),"")</f>
        <v/>
      </c>
      <c r="S168" s="15">
        <f>IFERROR(IF([@發生時間]="","",YEAR([@發生時間])-1911),"")</f>
        <v/>
      </c>
      <c r="T168" s="15">
        <f>IFERROR(INDEX(案類分類清單,MATCH([@案類],案類名稱清單,0)),"")</f>
        <v/>
      </c>
      <c r="U168" s="15">
        <f>IFERROR(INDEX(納入全般清單,MATCH([@案類],案類名稱清單,0)),"否")</f>
        <v/>
      </c>
      <c r="V168" s="15">
        <f>IFERROR([@歸屬年度]*10000+IFERROR(MATCH([@案件狀況],{"尚未偵破","已破獲未移送","已移送","簽結"},0),0)*100+ROW(),0)</f>
        <v/>
      </c>
      <c r="W168" s="227" t="n"/>
      <c r="X168" s="15">
        <f>IFERROR(IF([@績效類別]="","是","否"),"是")</f>
        <v/>
      </c>
      <c r="Y168" s="227" t="n"/>
    </row>
    <row r="169" ht="30" customHeight="1">
      <c r="A169" s="227" t="n"/>
      <c r="B169" s="227" t="n"/>
      <c r="C169" s="227" t="n"/>
      <c r="D169" s="228" t="n"/>
      <c r="E169" s="227" t="n"/>
      <c r="F169" s="228" t="n"/>
      <c r="G169" s="227" t="n"/>
      <c r="H169" s="227" t="n"/>
      <c r="I169" s="227" t="n"/>
      <c r="J169" s="227" t="n"/>
      <c r="K169" s="227" t="n"/>
      <c r="L169" s="227" t="n"/>
      <c r="M169" s="227" t="n"/>
      <c r="N169" s="227" t="n"/>
      <c r="O169" s="229" t="n"/>
      <c r="P169" s="230" t="n"/>
      <c r="Q169" s="227" t="n"/>
      <c r="R169" s="15">
        <f>IFERROR(IF(OR([@案件狀況]="已破獲未移送",[@案件狀況]="已移送"),"是","否"),"")</f>
        <v/>
      </c>
      <c r="S169" s="15">
        <f>IFERROR(IF([@發生時間]="","",YEAR([@發生時間])-1911),"")</f>
        <v/>
      </c>
      <c r="T169" s="15">
        <f>IFERROR(INDEX(案類分類清單,MATCH([@案類],案類名稱清單,0)),"")</f>
        <v/>
      </c>
      <c r="U169" s="15">
        <f>IFERROR(INDEX(納入全般清單,MATCH([@案類],案類名稱清單,0)),"否")</f>
        <v/>
      </c>
      <c r="V169" s="15">
        <f>IFERROR([@歸屬年度]*10000+IFERROR(MATCH([@案件狀況],{"尚未偵破","已破獲未移送","已移送","簽結"},0),0)*100+ROW(),0)</f>
        <v/>
      </c>
      <c r="W169" s="227" t="n"/>
      <c r="X169" s="15">
        <f>IFERROR(IF([@績效類別]="","是","否"),"是")</f>
        <v/>
      </c>
      <c r="Y169" s="227" t="n"/>
    </row>
    <row r="170" ht="30" customHeight="1">
      <c r="A170" s="227" t="n"/>
      <c r="B170" s="227" t="n"/>
      <c r="C170" s="227" t="n"/>
      <c r="D170" s="228" t="n"/>
      <c r="E170" s="227" t="n"/>
      <c r="F170" s="228" t="n"/>
      <c r="G170" s="227" t="n"/>
      <c r="H170" s="227" t="n"/>
      <c r="I170" s="227" t="n"/>
      <c r="J170" s="227" t="n"/>
      <c r="K170" s="227" t="n"/>
      <c r="L170" s="227" t="n"/>
      <c r="M170" s="227" t="n"/>
      <c r="N170" s="227" t="n"/>
      <c r="O170" s="229" t="n"/>
      <c r="P170" s="230" t="n"/>
      <c r="Q170" s="227" t="n"/>
      <c r="R170" s="15">
        <f>IFERROR(IF(OR([@案件狀況]="已破獲未移送",[@案件狀況]="已移送"),"是","否"),"")</f>
        <v/>
      </c>
      <c r="S170" s="15">
        <f>IFERROR(IF([@發生時間]="","",YEAR([@發生時間])-1911),"")</f>
        <v/>
      </c>
      <c r="T170" s="15">
        <f>IFERROR(INDEX(案類分類清單,MATCH([@案類],案類名稱清單,0)),"")</f>
        <v/>
      </c>
      <c r="U170" s="15">
        <f>IFERROR(INDEX(納入全般清單,MATCH([@案類],案類名稱清單,0)),"否")</f>
        <v/>
      </c>
      <c r="V170" s="15">
        <f>IFERROR([@歸屬年度]*10000+IFERROR(MATCH([@案件狀況],{"尚未偵破","已破獲未移送","已移送","簽結"},0),0)*100+ROW(),0)</f>
        <v/>
      </c>
      <c r="W170" s="227" t="n"/>
      <c r="X170" s="15">
        <f>IFERROR(IF([@績效類別]="","是","否"),"是")</f>
        <v/>
      </c>
      <c r="Y170" s="227" t="n"/>
    </row>
    <row r="171" ht="30" customHeight="1">
      <c r="A171" s="227" t="n"/>
      <c r="B171" s="227" t="n"/>
      <c r="C171" s="227" t="n"/>
      <c r="D171" s="228" t="n"/>
      <c r="E171" s="227" t="n"/>
      <c r="F171" s="228" t="n"/>
      <c r="G171" s="227" t="n"/>
      <c r="H171" s="227" t="n"/>
      <c r="I171" s="227" t="n"/>
      <c r="J171" s="227" t="n"/>
      <c r="K171" s="227" t="n"/>
      <c r="L171" s="227" t="n"/>
      <c r="M171" s="227" t="n"/>
      <c r="N171" s="227" t="n"/>
      <c r="O171" s="229" t="n"/>
      <c r="P171" s="230" t="n"/>
      <c r="Q171" s="227" t="n"/>
      <c r="R171" s="15">
        <f>IFERROR(IF(OR([@案件狀況]="已破獲未移送",[@案件狀況]="已移送"),"是","否"),"")</f>
        <v/>
      </c>
      <c r="S171" s="15">
        <f>IFERROR(IF([@發生時間]="","",YEAR([@發生時間])-1911),"")</f>
        <v/>
      </c>
      <c r="T171" s="15">
        <f>IFERROR(INDEX(案類分類清單,MATCH([@案類],案類名稱清單,0)),"")</f>
        <v/>
      </c>
      <c r="U171" s="15">
        <f>IFERROR(INDEX(納入全般清單,MATCH([@案類],案類名稱清單,0)),"否")</f>
        <v/>
      </c>
      <c r="V171" s="15">
        <f>IFERROR([@歸屬年度]*10000+IFERROR(MATCH([@案件狀況],{"尚未偵破","已破獲未移送","已移送","簽結"},0),0)*100+ROW(),0)</f>
        <v/>
      </c>
      <c r="W171" s="227" t="n"/>
      <c r="X171" s="15">
        <f>IFERROR(IF([@績效類別]="","是","否"),"是")</f>
        <v/>
      </c>
      <c r="Y171" s="227" t="n"/>
    </row>
    <row r="172" ht="30" customHeight="1">
      <c r="A172" s="227" t="n"/>
      <c r="B172" s="227" t="n"/>
      <c r="C172" s="227" t="n"/>
      <c r="D172" s="228" t="n"/>
      <c r="E172" s="227" t="n"/>
      <c r="F172" s="228" t="n"/>
      <c r="G172" s="227" t="n"/>
      <c r="H172" s="227" t="n"/>
      <c r="I172" s="227" t="n"/>
      <c r="J172" s="227" t="n"/>
      <c r="K172" s="227" t="n"/>
      <c r="L172" s="227" t="n"/>
      <c r="M172" s="227" t="n"/>
      <c r="N172" s="227" t="n"/>
      <c r="O172" s="229" t="n"/>
      <c r="P172" s="230" t="n"/>
      <c r="Q172" s="227" t="n"/>
      <c r="R172" s="15">
        <f>IFERROR(IF(OR([@案件狀況]="已破獲未移送",[@案件狀況]="已移送"),"是","否"),"")</f>
        <v/>
      </c>
      <c r="S172" s="15">
        <f>IFERROR(IF([@發生時間]="","",YEAR([@發生時間])-1911),"")</f>
        <v/>
      </c>
      <c r="T172" s="15">
        <f>IFERROR(INDEX(案類分類清單,MATCH([@案類],案類名稱清單,0)),"")</f>
        <v/>
      </c>
      <c r="U172" s="15">
        <f>IFERROR(INDEX(納入全般清單,MATCH([@案類],案類名稱清單,0)),"否")</f>
        <v/>
      </c>
      <c r="V172" s="15">
        <f>IFERROR([@歸屬年度]*10000+IFERROR(MATCH([@案件狀況],{"尚未偵破","已破獲未移送","已移送","簽結"},0),0)*100+ROW(),0)</f>
        <v/>
      </c>
      <c r="W172" s="227" t="n"/>
      <c r="X172" s="15">
        <f>IFERROR(IF([@績效類別]="","是","否"),"是")</f>
        <v/>
      </c>
      <c r="Y172" s="227" t="n"/>
    </row>
    <row r="173" ht="30" customHeight="1">
      <c r="A173" s="227" t="n"/>
      <c r="B173" s="227" t="n"/>
      <c r="C173" s="227" t="n"/>
      <c r="D173" s="228" t="n"/>
      <c r="E173" s="227" t="n"/>
      <c r="F173" s="228" t="n"/>
      <c r="G173" s="227" t="n"/>
      <c r="H173" s="227" t="n"/>
      <c r="I173" s="227" t="n"/>
      <c r="J173" s="227" t="n"/>
      <c r="K173" s="227" t="n"/>
      <c r="L173" s="227" t="n"/>
      <c r="M173" s="227" t="n"/>
      <c r="N173" s="227" t="n"/>
      <c r="O173" s="229" t="n"/>
      <c r="P173" s="230" t="n"/>
      <c r="Q173" s="227" t="n"/>
      <c r="R173" s="15">
        <f>IFERROR(IF(OR([@案件狀況]="已破獲未移送",[@案件狀況]="已移送"),"是","否"),"")</f>
        <v/>
      </c>
      <c r="S173" s="15">
        <f>IFERROR(IF([@發生時間]="","",YEAR([@發生時間])-1911),"")</f>
        <v/>
      </c>
      <c r="T173" s="15">
        <f>IFERROR(INDEX(案類分類清單,MATCH([@案類],案類名稱清單,0)),"")</f>
        <v/>
      </c>
      <c r="U173" s="15">
        <f>IFERROR(INDEX(納入全般清單,MATCH([@案類],案類名稱清單,0)),"否")</f>
        <v/>
      </c>
      <c r="V173" s="15">
        <f>IFERROR([@歸屬年度]*10000+IFERROR(MATCH([@案件狀況],{"尚未偵破","已破獲未移送","已移送","簽結"},0),0)*100+ROW(),0)</f>
        <v/>
      </c>
      <c r="W173" s="227" t="n"/>
      <c r="X173" s="15">
        <f>IFERROR(IF([@績效類別]="","是","否"),"是")</f>
        <v/>
      </c>
      <c r="Y173" s="227" t="n"/>
    </row>
    <row r="174" ht="30" customHeight="1">
      <c r="A174" s="227" t="n"/>
      <c r="B174" s="227" t="n"/>
      <c r="C174" s="227" t="n"/>
      <c r="D174" s="228" t="n"/>
      <c r="E174" s="227" t="n"/>
      <c r="F174" s="228" t="n"/>
      <c r="G174" s="227" t="n"/>
      <c r="H174" s="227" t="n"/>
      <c r="I174" s="227" t="n"/>
      <c r="J174" s="227" t="n"/>
      <c r="K174" s="227" t="n"/>
      <c r="L174" s="227" t="n"/>
      <c r="M174" s="227" t="n"/>
      <c r="N174" s="227" t="n"/>
      <c r="O174" s="229" t="n"/>
      <c r="P174" s="230" t="n"/>
      <c r="Q174" s="227" t="n"/>
      <c r="R174" s="15">
        <f>IFERROR(IF(OR([@案件狀況]="已破獲未移送",[@案件狀況]="已移送"),"是","否"),"")</f>
        <v/>
      </c>
      <c r="S174" s="15">
        <f>IFERROR(IF([@發生時間]="","",YEAR([@發生時間])-1911),"")</f>
        <v/>
      </c>
      <c r="T174" s="15">
        <f>IFERROR(INDEX(案類分類清單,MATCH([@案類],案類名稱清單,0)),"")</f>
        <v/>
      </c>
      <c r="U174" s="15">
        <f>IFERROR(INDEX(納入全般清單,MATCH([@案類],案類名稱清單,0)),"否")</f>
        <v/>
      </c>
      <c r="V174" s="15">
        <f>IFERROR([@歸屬年度]*10000+IFERROR(MATCH([@案件狀況],{"尚未偵破","已破獲未移送","已移送","簽結"},0),0)*100+ROW(),0)</f>
        <v/>
      </c>
      <c r="W174" s="227" t="n"/>
      <c r="X174" s="15">
        <f>IFERROR(IF([@績效類別]="","是","否"),"是")</f>
        <v/>
      </c>
      <c r="Y174" s="227" t="n"/>
    </row>
    <row r="175" ht="30" customHeight="1">
      <c r="A175" s="227" t="n"/>
      <c r="B175" s="227" t="n"/>
      <c r="C175" s="227" t="n"/>
      <c r="D175" s="228" t="n"/>
      <c r="E175" s="227" t="n"/>
      <c r="F175" s="228" t="n"/>
      <c r="G175" s="227" t="n"/>
      <c r="H175" s="227" t="n"/>
      <c r="I175" s="227" t="n"/>
      <c r="J175" s="227" t="n"/>
      <c r="K175" s="227" t="n"/>
      <c r="L175" s="227" t="n"/>
      <c r="M175" s="227" t="n"/>
      <c r="N175" s="227" t="n"/>
      <c r="O175" s="229" t="n"/>
      <c r="P175" s="230" t="n"/>
      <c r="Q175" s="227" t="n"/>
      <c r="R175" s="15">
        <f>IFERROR(IF(OR([@案件狀況]="已破獲未移送",[@案件狀況]="已移送"),"是","否"),"")</f>
        <v/>
      </c>
      <c r="S175" s="15">
        <f>IFERROR(IF([@發生時間]="","",YEAR([@發生時間])-1911),"")</f>
        <v/>
      </c>
      <c r="T175" s="15">
        <f>IFERROR(INDEX(案類分類清單,MATCH([@案類],案類名稱清單,0)),"")</f>
        <v/>
      </c>
      <c r="U175" s="15">
        <f>IFERROR(INDEX(納入全般清單,MATCH([@案類],案類名稱清單,0)),"否")</f>
        <v/>
      </c>
      <c r="V175" s="15">
        <f>IFERROR([@歸屬年度]*10000+IFERROR(MATCH([@案件狀況],{"尚未偵破","已破獲未移送","已移送","簽結"},0),0)*100+ROW(),0)</f>
        <v/>
      </c>
      <c r="W175" s="227" t="n"/>
      <c r="X175" s="15">
        <f>IFERROR(IF([@績效類別]="","是","否"),"是")</f>
        <v/>
      </c>
      <c r="Y175" s="227" t="n"/>
    </row>
    <row r="176" ht="30" customHeight="1">
      <c r="A176" s="227" t="n"/>
      <c r="B176" s="227" t="n"/>
      <c r="C176" s="227" t="n"/>
      <c r="D176" s="228" t="n"/>
      <c r="E176" s="227" t="n"/>
      <c r="F176" s="228" t="n"/>
      <c r="G176" s="227" t="n"/>
      <c r="H176" s="227" t="n"/>
      <c r="I176" s="227" t="n"/>
      <c r="J176" s="227" t="n"/>
      <c r="K176" s="227" t="n"/>
      <c r="L176" s="227" t="n"/>
      <c r="M176" s="227" t="n"/>
      <c r="N176" s="227" t="n"/>
      <c r="O176" s="229" t="n"/>
      <c r="P176" s="230" t="n"/>
      <c r="Q176" s="227" t="n"/>
      <c r="R176" s="15">
        <f>IFERROR(IF(OR([@案件狀況]="已破獲未移送",[@案件狀況]="已移送"),"是","否"),"")</f>
        <v/>
      </c>
      <c r="S176" s="15">
        <f>IFERROR(IF([@發生時間]="","",YEAR([@發生時間])-1911),"")</f>
        <v/>
      </c>
      <c r="T176" s="15">
        <f>IFERROR(INDEX(案類分類清單,MATCH([@案類],案類名稱清單,0)),"")</f>
        <v/>
      </c>
      <c r="U176" s="15">
        <f>IFERROR(INDEX(納入全般清單,MATCH([@案類],案類名稱清單,0)),"否")</f>
        <v/>
      </c>
      <c r="V176" s="15">
        <f>IFERROR([@歸屬年度]*10000+IFERROR(MATCH([@案件狀況],{"尚未偵破","已破獲未移送","已移送","簽結"},0),0)*100+ROW(),0)</f>
        <v/>
      </c>
      <c r="W176" s="227" t="n"/>
      <c r="X176" s="15">
        <f>IFERROR(IF([@績效類別]="","是","否"),"是")</f>
        <v/>
      </c>
      <c r="Y176" s="227" t="n"/>
    </row>
    <row r="177" ht="30" customHeight="1">
      <c r="A177" s="227" t="n"/>
      <c r="B177" s="227" t="n"/>
      <c r="C177" s="227" t="n"/>
      <c r="D177" s="228" t="n"/>
      <c r="E177" s="227" t="n"/>
      <c r="F177" s="228" t="n"/>
      <c r="G177" s="227" t="n"/>
      <c r="H177" s="227" t="n"/>
      <c r="I177" s="227" t="n"/>
      <c r="J177" s="227" t="n"/>
      <c r="K177" s="227" t="n"/>
      <c r="L177" s="227" t="n"/>
      <c r="M177" s="227" t="n"/>
      <c r="N177" s="227" t="n"/>
      <c r="O177" s="229" t="n"/>
      <c r="P177" s="230" t="n"/>
      <c r="Q177" s="227" t="n"/>
      <c r="R177" s="15">
        <f>IFERROR(IF(OR([@案件狀況]="已破獲未移送",[@案件狀況]="已移送"),"是","否"),"")</f>
        <v/>
      </c>
      <c r="S177" s="15">
        <f>IFERROR(IF([@發生時間]="","",YEAR([@發生時間])-1911),"")</f>
        <v/>
      </c>
      <c r="T177" s="15">
        <f>IFERROR(INDEX(案類分類清單,MATCH([@案類],案類名稱清單,0)),"")</f>
        <v/>
      </c>
      <c r="U177" s="15">
        <f>IFERROR(INDEX(納入全般清單,MATCH([@案類],案類名稱清單,0)),"否")</f>
        <v/>
      </c>
      <c r="V177" s="15">
        <f>IFERROR([@歸屬年度]*10000+IFERROR(MATCH([@案件狀況],{"尚未偵破","已破獲未移送","已移送","簽結"},0),0)*100+ROW(),0)</f>
        <v/>
      </c>
      <c r="W177" s="227" t="n"/>
      <c r="X177" s="15">
        <f>IFERROR(IF([@績效類別]="","是","否"),"是")</f>
        <v/>
      </c>
      <c r="Y177" s="227" t="n"/>
    </row>
    <row r="178" ht="30" customHeight="1">
      <c r="A178" s="227" t="n"/>
      <c r="B178" s="227" t="n"/>
      <c r="C178" s="227" t="n"/>
      <c r="D178" s="228" t="n"/>
      <c r="E178" s="227" t="n"/>
      <c r="F178" s="228" t="n"/>
      <c r="G178" s="227" t="n"/>
      <c r="H178" s="227" t="n"/>
      <c r="I178" s="227" t="n"/>
      <c r="J178" s="227" t="n"/>
      <c r="K178" s="227" t="n"/>
      <c r="L178" s="227" t="n"/>
      <c r="M178" s="227" t="n"/>
      <c r="N178" s="227" t="n"/>
      <c r="O178" s="229" t="n"/>
      <c r="P178" s="230" t="n"/>
      <c r="Q178" s="227" t="n"/>
      <c r="R178" s="15">
        <f>IFERROR(IF(OR([@案件狀況]="已破獲未移送",[@案件狀況]="已移送"),"是","否"),"")</f>
        <v/>
      </c>
      <c r="S178" s="15">
        <f>IFERROR(IF([@發生時間]="","",YEAR([@發生時間])-1911),"")</f>
        <v/>
      </c>
      <c r="T178" s="15">
        <f>IFERROR(INDEX(案類分類清單,MATCH([@案類],案類名稱清單,0)),"")</f>
        <v/>
      </c>
      <c r="U178" s="15">
        <f>IFERROR(INDEX(納入全般清單,MATCH([@案類],案類名稱清單,0)),"否")</f>
        <v/>
      </c>
      <c r="V178" s="15">
        <f>IFERROR([@歸屬年度]*10000+IFERROR(MATCH([@案件狀況],{"尚未偵破","已破獲未移送","已移送","簽結"},0),0)*100+ROW(),0)</f>
        <v/>
      </c>
      <c r="W178" s="227" t="n"/>
      <c r="X178" s="15">
        <f>IFERROR(IF([@績效類別]="","是","否"),"是")</f>
        <v/>
      </c>
      <c r="Y178" s="227" t="n"/>
    </row>
    <row r="179" ht="30" customHeight="1">
      <c r="A179" s="227" t="n"/>
      <c r="B179" s="227" t="n"/>
      <c r="C179" s="227" t="n"/>
      <c r="D179" s="228" t="n"/>
      <c r="E179" s="227" t="n"/>
      <c r="F179" s="228" t="n"/>
      <c r="G179" s="227" t="n"/>
      <c r="H179" s="227" t="n"/>
      <c r="I179" s="227" t="n"/>
      <c r="J179" s="227" t="n"/>
      <c r="K179" s="227" t="n"/>
      <c r="L179" s="227" t="n"/>
      <c r="M179" s="227" t="n"/>
      <c r="N179" s="227" t="n"/>
      <c r="O179" s="229" t="n"/>
      <c r="P179" s="230" t="n"/>
      <c r="Q179" s="227" t="n"/>
      <c r="R179" s="15">
        <f>IFERROR(IF(OR([@案件狀況]="已破獲未移送",[@案件狀況]="已移送"),"是","否"),"")</f>
        <v/>
      </c>
      <c r="S179" s="15">
        <f>IFERROR(IF([@發生時間]="","",YEAR([@發生時間])-1911),"")</f>
        <v/>
      </c>
      <c r="T179" s="15">
        <f>IFERROR(INDEX(案類分類清單,MATCH([@案類],案類名稱清單,0)),"")</f>
        <v/>
      </c>
      <c r="U179" s="15">
        <f>IFERROR(INDEX(納入全般清單,MATCH([@案類],案類名稱清單,0)),"否")</f>
        <v/>
      </c>
      <c r="V179" s="15">
        <f>IFERROR([@歸屬年度]*10000+IFERROR(MATCH([@案件狀況],{"尚未偵破","已破獲未移送","已移送","簽結"},0),0)*100+ROW(),0)</f>
        <v/>
      </c>
      <c r="W179" s="227" t="n"/>
      <c r="X179" s="15">
        <f>IFERROR(IF([@績效類別]="","是","否"),"是")</f>
        <v/>
      </c>
      <c r="Y179" s="227" t="n"/>
    </row>
    <row r="180" ht="30" customHeight="1">
      <c r="A180" s="227" t="n"/>
      <c r="B180" s="227" t="n"/>
      <c r="C180" s="227" t="n"/>
      <c r="D180" s="228" t="n"/>
      <c r="E180" s="227" t="n"/>
      <c r="F180" s="228" t="n"/>
      <c r="G180" s="227" t="n"/>
      <c r="H180" s="227" t="n"/>
      <c r="I180" s="227" t="n"/>
      <c r="J180" s="227" t="n"/>
      <c r="K180" s="227" t="n"/>
      <c r="L180" s="227" t="n"/>
      <c r="M180" s="227" t="n"/>
      <c r="N180" s="227" t="n"/>
      <c r="O180" s="229" t="n"/>
      <c r="P180" s="230" t="n"/>
      <c r="Q180" s="227" t="n"/>
      <c r="R180" s="15">
        <f>IFERROR(IF(OR([@案件狀況]="已破獲未移送",[@案件狀況]="已移送"),"是","否"),"")</f>
        <v/>
      </c>
      <c r="S180" s="15">
        <f>IFERROR(IF([@發生時間]="","",YEAR([@發生時間])-1911),"")</f>
        <v/>
      </c>
      <c r="T180" s="15">
        <f>IFERROR(INDEX(案類分類清單,MATCH([@案類],案類名稱清單,0)),"")</f>
        <v/>
      </c>
      <c r="U180" s="15">
        <f>IFERROR(INDEX(納入全般清單,MATCH([@案類],案類名稱清單,0)),"否")</f>
        <v/>
      </c>
      <c r="V180" s="15">
        <f>IFERROR([@歸屬年度]*10000+IFERROR(MATCH([@案件狀況],{"尚未偵破","已破獲未移送","已移送","簽結"},0),0)*100+ROW(),0)</f>
        <v/>
      </c>
      <c r="W180" s="227" t="n"/>
      <c r="X180" s="15">
        <f>IFERROR(IF([@績效類別]="","是","否"),"是")</f>
        <v/>
      </c>
      <c r="Y180" s="227" t="n"/>
    </row>
    <row r="181" ht="30" customHeight="1">
      <c r="A181" s="227" t="n"/>
      <c r="B181" s="227" t="n"/>
      <c r="C181" s="227" t="n"/>
      <c r="D181" s="228" t="n"/>
      <c r="E181" s="227" t="n"/>
      <c r="F181" s="228" t="n"/>
      <c r="G181" s="227" t="n"/>
      <c r="H181" s="227" t="n"/>
      <c r="I181" s="227" t="n"/>
      <c r="J181" s="227" t="n"/>
      <c r="K181" s="227" t="n"/>
      <c r="L181" s="227" t="n"/>
      <c r="M181" s="227" t="n"/>
      <c r="N181" s="227" t="n"/>
      <c r="O181" s="229" t="n"/>
      <c r="P181" s="230" t="n"/>
      <c r="Q181" s="227" t="n"/>
      <c r="R181" s="15">
        <f>IFERROR(IF(OR([@案件狀況]="已破獲未移送",[@案件狀況]="已移送"),"是","否"),"")</f>
        <v/>
      </c>
      <c r="S181" s="15">
        <f>IFERROR(IF([@發生時間]="","",YEAR([@發生時間])-1911),"")</f>
        <v/>
      </c>
      <c r="T181" s="15">
        <f>IFERROR(INDEX(案類分類清單,MATCH([@案類],案類名稱清單,0)),"")</f>
        <v/>
      </c>
      <c r="U181" s="15">
        <f>IFERROR(INDEX(納入全般清單,MATCH([@案類],案類名稱清單,0)),"否")</f>
        <v/>
      </c>
      <c r="V181" s="15">
        <f>IFERROR([@歸屬年度]*10000+IFERROR(MATCH([@案件狀況],{"尚未偵破","已破獲未移送","已移送","簽結"},0),0)*100+ROW(),0)</f>
        <v/>
      </c>
      <c r="W181" s="227" t="n"/>
      <c r="X181" s="15">
        <f>IFERROR(IF([@績效類別]="","是","否"),"是")</f>
        <v/>
      </c>
      <c r="Y181" s="227" t="n"/>
    </row>
    <row r="182" ht="30" customHeight="1">
      <c r="A182" s="227" t="n"/>
      <c r="B182" s="227" t="n"/>
      <c r="C182" s="227" t="n"/>
      <c r="D182" s="228" t="n"/>
      <c r="E182" s="227" t="n"/>
      <c r="F182" s="228" t="n"/>
      <c r="G182" s="227" t="n"/>
      <c r="H182" s="227" t="n"/>
      <c r="I182" s="227" t="n"/>
      <c r="J182" s="227" t="n"/>
      <c r="K182" s="227" t="n"/>
      <c r="L182" s="227" t="n"/>
      <c r="M182" s="227" t="n"/>
      <c r="N182" s="227" t="n"/>
      <c r="O182" s="229" t="n"/>
      <c r="P182" s="230" t="n"/>
      <c r="Q182" s="227" t="n"/>
      <c r="R182" s="15">
        <f>IFERROR(IF(OR([@案件狀況]="已破獲未移送",[@案件狀況]="已移送"),"是","否"),"")</f>
        <v/>
      </c>
      <c r="S182" s="15">
        <f>IFERROR(IF([@發生時間]="","",YEAR([@發生時間])-1911),"")</f>
        <v/>
      </c>
      <c r="T182" s="15">
        <f>IFERROR(INDEX(案類分類清單,MATCH([@案類],案類名稱清單,0)),"")</f>
        <v/>
      </c>
      <c r="U182" s="15">
        <f>IFERROR(INDEX(納入全般清單,MATCH([@案類],案類名稱清單,0)),"否")</f>
        <v/>
      </c>
      <c r="V182" s="15">
        <f>IFERROR([@歸屬年度]*10000+IFERROR(MATCH([@案件狀況],{"尚未偵破","已破獲未移送","已移送","簽結"},0),0)*100+ROW(),0)</f>
        <v/>
      </c>
      <c r="W182" s="227" t="n"/>
      <c r="X182" s="15">
        <f>IFERROR(IF([@績效類別]="","是","否"),"是")</f>
        <v/>
      </c>
      <c r="Y182" s="227" t="n"/>
    </row>
    <row r="183" ht="30" customHeight="1">
      <c r="A183" s="227" t="n"/>
      <c r="B183" s="227" t="n"/>
      <c r="C183" s="227" t="n"/>
      <c r="D183" s="228" t="n"/>
      <c r="E183" s="227" t="n"/>
      <c r="F183" s="228" t="n"/>
      <c r="G183" s="227" t="n"/>
      <c r="H183" s="227" t="n"/>
      <c r="I183" s="227" t="n"/>
      <c r="J183" s="227" t="n"/>
      <c r="K183" s="227" t="n"/>
      <c r="L183" s="227" t="n"/>
      <c r="M183" s="227" t="n"/>
      <c r="N183" s="227" t="n"/>
      <c r="O183" s="229" t="n"/>
      <c r="P183" s="230" t="n"/>
      <c r="Q183" s="227" t="n"/>
      <c r="R183" s="15">
        <f>IFERROR(IF(OR([@案件狀況]="已破獲未移送",[@案件狀況]="已移送"),"是","否"),"")</f>
        <v/>
      </c>
      <c r="S183" s="15">
        <f>IFERROR(IF([@發生時間]="","",YEAR([@發生時間])-1911),"")</f>
        <v/>
      </c>
      <c r="T183" s="15">
        <f>IFERROR(INDEX(案類分類清單,MATCH([@案類],案類名稱清單,0)),"")</f>
        <v/>
      </c>
      <c r="U183" s="15">
        <f>IFERROR(INDEX(納入全般清單,MATCH([@案類],案類名稱清單,0)),"否")</f>
        <v/>
      </c>
      <c r="V183" s="15">
        <f>IFERROR([@歸屬年度]*10000+IFERROR(MATCH([@案件狀況],{"尚未偵破","已破獲未移送","已移送","簽結"},0),0)*100+ROW(),0)</f>
        <v/>
      </c>
      <c r="W183" s="227" t="n"/>
      <c r="X183" s="15">
        <f>IFERROR(IF([@績效類別]="","是","否"),"是")</f>
        <v/>
      </c>
      <c r="Y183" s="227" t="n"/>
    </row>
    <row r="184" ht="30" customHeight="1">
      <c r="A184" s="227" t="n"/>
      <c r="B184" s="227" t="n"/>
      <c r="C184" s="227" t="n"/>
      <c r="D184" s="228" t="n"/>
      <c r="E184" s="227" t="n"/>
      <c r="F184" s="228" t="n"/>
      <c r="G184" s="227" t="n"/>
      <c r="H184" s="227" t="n"/>
      <c r="I184" s="227" t="n"/>
      <c r="J184" s="227" t="n"/>
      <c r="K184" s="227" t="n"/>
      <c r="L184" s="227" t="n"/>
      <c r="M184" s="227" t="n"/>
      <c r="N184" s="227" t="n"/>
      <c r="O184" s="229" t="n"/>
      <c r="P184" s="230" t="n"/>
      <c r="Q184" s="227" t="n"/>
      <c r="R184" s="15">
        <f>IFERROR(IF(OR([@案件狀況]="已破獲未移送",[@案件狀況]="已移送"),"是","否"),"")</f>
        <v/>
      </c>
      <c r="S184" s="15">
        <f>IFERROR(IF([@發生時間]="","",YEAR([@發生時間])-1911),"")</f>
        <v/>
      </c>
      <c r="T184" s="15">
        <f>IFERROR(INDEX(案類分類清單,MATCH([@案類],案類名稱清單,0)),"")</f>
        <v/>
      </c>
      <c r="U184" s="15">
        <f>IFERROR(INDEX(納入全般清單,MATCH([@案類],案類名稱清單,0)),"否")</f>
        <v/>
      </c>
      <c r="V184" s="15">
        <f>IFERROR([@歸屬年度]*10000+IFERROR(MATCH([@案件狀況],{"尚未偵破","已破獲未移送","已移送","簽結"},0),0)*100+ROW(),0)</f>
        <v/>
      </c>
      <c r="W184" s="227" t="n"/>
      <c r="X184" s="15">
        <f>IFERROR(IF([@績效類別]="","是","否"),"是")</f>
        <v/>
      </c>
      <c r="Y184" s="227" t="n"/>
    </row>
    <row r="185" ht="30" customHeight="1">
      <c r="A185" s="227" t="n"/>
      <c r="B185" s="227" t="n"/>
      <c r="C185" s="227" t="n"/>
      <c r="D185" s="228" t="n"/>
      <c r="E185" s="227" t="n"/>
      <c r="F185" s="228" t="n"/>
      <c r="G185" s="227" t="n"/>
      <c r="H185" s="227" t="n"/>
      <c r="I185" s="227" t="n"/>
      <c r="J185" s="227" t="n"/>
      <c r="K185" s="227" t="n"/>
      <c r="L185" s="227" t="n"/>
      <c r="M185" s="227" t="n"/>
      <c r="N185" s="227" t="n"/>
      <c r="O185" s="229" t="n"/>
      <c r="P185" s="230" t="n"/>
      <c r="Q185" s="227" t="n"/>
      <c r="R185" s="15">
        <f>IFERROR(IF(OR([@案件狀況]="已破獲未移送",[@案件狀況]="已移送"),"是","否"),"")</f>
        <v/>
      </c>
      <c r="S185" s="15">
        <f>IFERROR(IF([@發生時間]="","",YEAR([@發生時間])-1911),"")</f>
        <v/>
      </c>
      <c r="T185" s="15">
        <f>IFERROR(INDEX(案類分類清單,MATCH([@案類],案類名稱清單,0)),"")</f>
        <v/>
      </c>
      <c r="U185" s="15">
        <f>IFERROR(INDEX(納入全般清單,MATCH([@案類],案類名稱清單,0)),"否")</f>
        <v/>
      </c>
      <c r="V185" s="15">
        <f>IFERROR([@歸屬年度]*10000+IFERROR(MATCH([@案件狀況],{"尚未偵破","已破獲未移送","已移送","簽結"},0),0)*100+ROW(),0)</f>
        <v/>
      </c>
      <c r="W185" s="227" t="n"/>
      <c r="X185" s="15">
        <f>IFERROR(IF([@績效類別]="","是","否"),"是")</f>
        <v/>
      </c>
      <c r="Y185" s="227" t="n"/>
    </row>
    <row r="186" ht="30" customHeight="1">
      <c r="A186" s="227" t="n"/>
      <c r="B186" s="227" t="n"/>
      <c r="C186" s="227" t="n"/>
      <c r="D186" s="228" t="n"/>
      <c r="E186" s="227" t="n"/>
      <c r="F186" s="228" t="n"/>
      <c r="G186" s="227" t="n"/>
      <c r="H186" s="227" t="n"/>
      <c r="I186" s="227" t="n"/>
      <c r="J186" s="227" t="n"/>
      <c r="K186" s="227" t="n"/>
      <c r="L186" s="227" t="n"/>
      <c r="M186" s="227" t="n"/>
      <c r="N186" s="227" t="n"/>
      <c r="O186" s="229" t="n"/>
      <c r="P186" s="230" t="n"/>
      <c r="Q186" s="227" t="n"/>
      <c r="R186" s="15">
        <f>IFERROR(IF(OR([@案件狀況]="已破獲未移送",[@案件狀況]="已移送"),"是","否"),"")</f>
        <v/>
      </c>
      <c r="S186" s="15">
        <f>IFERROR(IF([@發生時間]="","",YEAR([@發生時間])-1911),"")</f>
        <v/>
      </c>
      <c r="T186" s="15">
        <f>IFERROR(INDEX(案類分類清單,MATCH([@案類],案類名稱清單,0)),"")</f>
        <v/>
      </c>
      <c r="U186" s="15">
        <f>IFERROR(INDEX(納入全般清單,MATCH([@案類],案類名稱清單,0)),"否")</f>
        <v/>
      </c>
      <c r="V186" s="15">
        <f>IFERROR([@歸屬年度]*10000+IFERROR(MATCH([@案件狀況],{"尚未偵破","已破獲未移送","已移送","簽結"},0),0)*100+ROW(),0)</f>
        <v/>
      </c>
      <c r="W186" s="227" t="n"/>
      <c r="X186" s="15">
        <f>IFERROR(IF([@績效類別]="","是","否"),"是")</f>
        <v/>
      </c>
      <c r="Y186" s="227" t="n"/>
    </row>
    <row r="187" ht="30" customHeight="1">
      <c r="A187" s="227" t="n"/>
      <c r="B187" s="227" t="n"/>
      <c r="C187" s="227" t="n"/>
      <c r="D187" s="228" t="n"/>
      <c r="E187" s="227" t="n"/>
      <c r="F187" s="228" t="n"/>
      <c r="G187" s="227" t="n"/>
      <c r="H187" s="227" t="n"/>
      <c r="I187" s="227" t="n"/>
      <c r="J187" s="227" t="n"/>
      <c r="K187" s="227" t="n"/>
      <c r="L187" s="227" t="n"/>
      <c r="M187" s="227" t="n"/>
      <c r="N187" s="227" t="n"/>
      <c r="O187" s="229" t="n"/>
      <c r="P187" s="230" t="n"/>
      <c r="Q187" s="227" t="n"/>
      <c r="R187" s="15">
        <f>IFERROR(IF(OR([@案件狀況]="已破獲未移送",[@案件狀況]="已移送"),"是","否"),"")</f>
        <v/>
      </c>
      <c r="S187" s="15">
        <f>IFERROR(IF([@發生時間]="","",YEAR([@發生時間])-1911),"")</f>
        <v/>
      </c>
      <c r="T187" s="15">
        <f>IFERROR(INDEX(案類分類清單,MATCH([@案類],案類名稱清單,0)),"")</f>
        <v/>
      </c>
      <c r="U187" s="15">
        <f>IFERROR(INDEX(納入全般清單,MATCH([@案類],案類名稱清單,0)),"否")</f>
        <v/>
      </c>
      <c r="V187" s="15">
        <f>IFERROR([@歸屬年度]*10000+IFERROR(MATCH([@案件狀況],{"尚未偵破","已破獲未移送","已移送","簽結"},0),0)*100+ROW(),0)</f>
        <v/>
      </c>
      <c r="W187" s="227" t="n"/>
      <c r="X187" s="15">
        <f>IFERROR(IF([@績效類別]="","是","否"),"是")</f>
        <v/>
      </c>
      <c r="Y187" s="227" t="n"/>
    </row>
    <row r="188" ht="30" customHeight="1">
      <c r="A188" s="227" t="n"/>
      <c r="B188" s="227" t="n"/>
      <c r="C188" s="227" t="n"/>
      <c r="D188" s="228" t="n"/>
      <c r="E188" s="227" t="n"/>
      <c r="F188" s="228" t="n"/>
      <c r="G188" s="227" t="n"/>
      <c r="H188" s="227" t="n"/>
      <c r="I188" s="227" t="n"/>
      <c r="J188" s="227" t="n"/>
      <c r="K188" s="227" t="n"/>
      <c r="L188" s="227" t="n"/>
      <c r="M188" s="227" t="n"/>
      <c r="N188" s="227" t="n"/>
      <c r="O188" s="229" t="n"/>
      <c r="P188" s="230" t="n"/>
      <c r="Q188" s="227" t="n"/>
      <c r="R188" s="15">
        <f>IFERROR(IF(OR([@案件狀況]="已破獲未移送",[@案件狀況]="已移送"),"是","否"),"")</f>
        <v/>
      </c>
      <c r="S188" s="15">
        <f>IFERROR(IF([@發生時間]="","",YEAR([@發生時間])-1911),"")</f>
        <v/>
      </c>
      <c r="T188" s="15">
        <f>IFERROR(INDEX(案類分類清單,MATCH([@案類],案類名稱清單,0)),"")</f>
        <v/>
      </c>
      <c r="U188" s="15">
        <f>IFERROR(INDEX(納入全般清單,MATCH([@案類],案類名稱清單,0)),"否")</f>
        <v/>
      </c>
      <c r="V188" s="15">
        <f>IFERROR([@歸屬年度]*10000+IFERROR(MATCH([@案件狀況],{"尚未偵破","已破獲未移送","已移送","簽結"},0),0)*100+ROW(),0)</f>
        <v/>
      </c>
      <c r="W188" s="227" t="n"/>
      <c r="X188" s="15">
        <f>IFERROR(IF([@績效類別]="","是","否"),"是")</f>
        <v/>
      </c>
      <c r="Y188" s="227" t="n"/>
    </row>
    <row r="189" ht="30" customHeight="1">
      <c r="A189" s="227" t="n"/>
      <c r="B189" s="227" t="n"/>
      <c r="C189" s="227" t="n"/>
      <c r="D189" s="228" t="n"/>
      <c r="E189" s="227" t="n"/>
      <c r="F189" s="228" t="n"/>
      <c r="G189" s="227" t="n"/>
      <c r="H189" s="227" t="n"/>
      <c r="I189" s="227" t="n"/>
      <c r="J189" s="227" t="n"/>
      <c r="K189" s="227" t="n"/>
      <c r="L189" s="227" t="n"/>
      <c r="M189" s="227" t="n"/>
      <c r="N189" s="227" t="n"/>
      <c r="O189" s="229" t="n"/>
      <c r="P189" s="230" t="n"/>
      <c r="Q189" s="227" t="n"/>
      <c r="R189" s="15">
        <f>IFERROR(IF(OR([@案件狀況]="已破獲未移送",[@案件狀況]="已移送"),"是","否"),"")</f>
        <v/>
      </c>
      <c r="S189" s="15">
        <f>IFERROR(IF([@發生時間]="","",YEAR([@發生時間])-1911),"")</f>
        <v/>
      </c>
      <c r="T189" s="15">
        <f>IFERROR(INDEX(案類分類清單,MATCH([@案類],案類名稱清單,0)),"")</f>
        <v/>
      </c>
      <c r="U189" s="15">
        <f>IFERROR(INDEX(納入全般清單,MATCH([@案類],案類名稱清單,0)),"否")</f>
        <v/>
      </c>
      <c r="V189" s="15">
        <f>IFERROR([@歸屬年度]*10000+IFERROR(MATCH([@案件狀況],{"尚未偵破","已破獲未移送","已移送","簽結"},0),0)*100+ROW(),0)</f>
        <v/>
      </c>
      <c r="W189" s="227" t="n"/>
      <c r="X189" s="15">
        <f>IFERROR(IF([@績效類別]="","是","否"),"是")</f>
        <v/>
      </c>
      <c r="Y189" s="227" t="n"/>
    </row>
    <row r="190" ht="30" customHeight="1">
      <c r="A190" s="227" t="n"/>
      <c r="B190" s="227" t="n"/>
      <c r="C190" s="227" t="n"/>
      <c r="D190" s="228" t="n"/>
      <c r="E190" s="227" t="n"/>
      <c r="F190" s="228" t="n"/>
      <c r="G190" s="227" t="n"/>
      <c r="H190" s="227" t="n"/>
      <c r="I190" s="227" t="n"/>
      <c r="J190" s="227" t="n"/>
      <c r="K190" s="227" t="n"/>
      <c r="L190" s="227" t="n"/>
      <c r="M190" s="227" t="n"/>
      <c r="N190" s="227" t="n"/>
      <c r="O190" s="229" t="n"/>
      <c r="P190" s="230" t="n"/>
      <c r="Q190" s="227" t="n"/>
      <c r="R190" s="15">
        <f>IFERROR(IF(OR([@案件狀況]="已破獲未移送",[@案件狀況]="已移送"),"是","否"),"")</f>
        <v/>
      </c>
      <c r="S190" s="15">
        <f>IFERROR(IF([@發生時間]="","",YEAR([@發生時間])-1911),"")</f>
        <v/>
      </c>
      <c r="T190" s="15">
        <f>IFERROR(INDEX(案類分類清單,MATCH([@案類],案類名稱清單,0)),"")</f>
        <v/>
      </c>
      <c r="U190" s="15">
        <f>IFERROR(INDEX(納入全般清單,MATCH([@案類],案類名稱清單,0)),"否")</f>
        <v/>
      </c>
      <c r="V190" s="15">
        <f>IFERROR([@歸屬年度]*10000+IFERROR(MATCH([@案件狀況],{"尚未偵破","已破獲未移送","已移送","簽結"},0),0)*100+ROW(),0)</f>
        <v/>
      </c>
      <c r="W190" s="227" t="n"/>
      <c r="X190" s="15">
        <f>IFERROR(IF([@績效類別]="","是","否"),"是")</f>
        <v/>
      </c>
      <c r="Y190" s="227" t="n"/>
    </row>
    <row r="191" ht="30" customHeight="1">
      <c r="A191" s="227" t="n"/>
      <c r="B191" s="227" t="n"/>
      <c r="C191" s="227" t="n"/>
      <c r="D191" s="228" t="n"/>
      <c r="E191" s="227" t="n"/>
      <c r="F191" s="228" t="n"/>
      <c r="G191" s="227" t="n"/>
      <c r="H191" s="227" t="n"/>
      <c r="I191" s="227" t="n"/>
      <c r="J191" s="227" t="n"/>
      <c r="K191" s="227" t="n"/>
      <c r="L191" s="227" t="n"/>
      <c r="M191" s="227" t="n"/>
      <c r="N191" s="227" t="n"/>
      <c r="O191" s="229" t="n"/>
      <c r="P191" s="230" t="n"/>
      <c r="Q191" s="227" t="n"/>
      <c r="R191" s="15">
        <f>IFERROR(IF(OR([@案件狀況]="已破獲未移送",[@案件狀況]="已移送"),"是","否"),"")</f>
        <v/>
      </c>
      <c r="S191" s="15">
        <f>IFERROR(IF([@發生時間]="","",YEAR([@發生時間])-1911),"")</f>
        <v/>
      </c>
      <c r="T191" s="15">
        <f>IFERROR(INDEX(案類分類清單,MATCH([@案類],案類名稱清單,0)),"")</f>
        <v/>
      </c>
      <c r="U191" s="15">
        <f>IFERROR(INDEX(納入全般清單,MATCH([@案類],案類名稱清單,0)),"否")</f>
        <v/>
      </c>
      <c r="V191" s="15">
        <f>IFERROR([@歸屬年度]*10000+IFERROR(MATCH([@案件狀況],{"尚未偵破","已破獲未移送","已移送","簽結"},0),0)*100+ROW(),0)</f>
        <v/>
      </c>
      <c r="W191" s="227" t="n"/>
      <c r="X191" s="15">
        <f>IFERROR(IF([@績效類別]="","是","否"),"是")</f>
        <v/>
      </c>
      <c r="Y191" s="227" t="n"/>
    </row>
    <row r="192" ht="30" customHeight="1">
      <c r="A192" s="227" t="n"/>
      <c r="B192" s="227" t="n"/>
      <c r="C192" s="227" t="n"/>
      <c r="D192" s="228" t="n"/>
      <c r="E192" s="227" t="n"/>
      <c r="F192" s="228" t="n"/>
      <c r="G192" s="227" t="n"/>
      <c r="H192" s="227" t="n"/>
      <c r="I192" s="227" t="n"/>
      <c r="J192" s="227" t="n"/>
      <c r="K192" s="227" t="n"/>
      <c r="L192" s="227" t="n"/>
      <c r="M192" s="227" t="n"/>
      <c r="N192" s="227" t="n"/>
      <c r="O192" s="229" t="n"/>
      <c r="P192" s="230" t="n"/>
      <c r="Q192" s="227" t="n"/>
      <c r="R192" s="15">
        <f>IFERROR(IF(OR([@案件狀況]="已破獲未移送",[@案件狀況]="已移送"),"是","否"),"")</f>
        <v/>
      </c>
      <c r="S192" s="15">
        <f>IFERROR(IF([@發生時間]="","",YEAR([@發生時間])-1911),"")</f>
        <v/>
      </c>
      <c r="T192" s="15">
        <f>IFERROR(INDEX(案類分類清單,MATCH([@案類],案類名稱清單,0)),"")</f>
        <v/>
      </c>
      <c r="U192" s="15">
        <f>IFERROR(INDEX(納入全般清單,MATCH([@案類],案類名稱清單,0)),"否")</f>
        <v/>
      </c>
      <c r="V192" s="15">
        <f>IFERROR([@歸屬年度]*10000+IFERROR(MATCH([@案件狀況],{"尚未偵破","已破獲未移送","已移送","簽結"},0),0)*100+ROW(),0)</f>
        <v/>
      </c>
      <c r="W192" s="227" t="n"/>
      <c r="X192" s="15">
        <f>IFERROR(IF([@績效類別]="","是","否"),"是")</f>
        <v/>
      </c>
      <c r="Y192" s="227" t="n"/>
    </row>
    <row r="193" ht="30" customHeight="1">
      <c r="A193" s="227" t="n"/>
      <c r="B193" s="227" t="n"/>
      <c r="C193" s="227" t="n"/>
      <c r="D193" s="228" t="n"/>
      <c r="E193" s="227" t="n"/>
      <c r="F193" s="228" t="n"/>
      <c r="G193" s="227" t="n"/>
      <c r="H193" s="227" t="n"/>
      <c r="I193" s="227" t="n"/>
      <c r="J193" s="227" t="n"/>
      <c r="K193" s="227" t="n"/>
      <c r="L193" s="227" t="n"/>
      <c r="M193" s="227" t="n"/>
      <c r="N193" s="227" t="n"/>
      <c r="O193" s="229" t="n"/>
      <c r="P193" s="230" t="n"/>
      <c r="Q193" s="227" t="n"/>
      <c r="R193" s="15">
        <f>IFERROR(IF(OR([@案件狀況]="已破獲未移送",[@案件狀況]="已移送"),"是","否"),"")</f>
        <v/>
      </c>
      <c r="S193" s="15">
        <f>IFERROR(IF([@發生時間]="","",YEAR([@發生時間])-1911),"")</f>
        <v/>
      </c>
      <c r="T193" s="15">
        <f>IFERROR(INDEX(案類分類清單,MATCH([@案類],案類名稱清單,0)),"")</f>
        <v/>
      </c>
      <c r="U193" s="15">
        <f>IFERROR(INDEX(納入全般清單,MATCH([@案類],案類名稱清單,0)),"否")</f>
        <v/>
      </c>
      <c r="V193" s="15">
        <f>IFERROR([@歸屬年度]*10000+IFERROR(MATCH([@案件狀況],{"尚未偵破","已破獲未移送","已移送","簽結"},0),0)*100+ROW(),0)</f>
        <v/>
      </c>
      <c r="W193" s="227" t="n"/>
      <c r="X193" s="15">
        <f>IFERROR(IF([@績效類別]="","是","否"),"是")</f>
        <v/>
      </c>
      <c r="Y193" s="227" t="n"/>
    </row>
    <row r="194" ht="30" customHeight="1">
      <c r="A194" s="227" t="n"/>
      <c r="B194" s="227" t="n"/>
      <c r="C194" s="227" t="n"/>
      <c r="D194" s="228" t="n"/>
      <c r="E194" s="227" t="n"/>
      <c r="F194" s="228" t="n"/>
      <c r="G194" s="227" t="n"/>
      <c r="H194" s="227" t="n"/>
      <c r="I194" s="227" t="n"/>
      <c r="J194" s="227" t="n"/>
      <c r="K194" s="227" t="n"/>
      <c r="L194" s="227" t="n"/>
      <c r="M194" s="227" t="n"/>
      <c r="N194" s="227" t="n"/>
      <c r="O194" s="229" t="n"/>
      <c r="P194" s="230" t="n"/>
      <c r="Q194" s="227" t="n"/>
      <c r="R194" s="15">
        <f>IFERROR(IF(OR([@案件狀況]="已破獲未移送",[@案件狀況]="已移送"),"是","否"),"")</f>
        <v/>
      </c>
      <c r="S194" s="15">
        <f>IFERROR(IF([@發生時間]="","",YEAR([@發生時間])-1911),"")</f>
        <v/>
      </c>
      <c r="T194" s="15">
        <f>IFERROR(INDEX(案類分類清單,MATCH([@案類],案類名稱清單,0)),"")</f>
        <v/>
      </c>
      <c r="U194" s="15">
        <f>IFERROR(INDEX(納入全般清單,MATCH([@案類],案類名稱清單,0)),"否")</f>
        <v/>
      </c>
      <c r="V194" s="15">
        <f>IFERROR([@歸屬年度]*10000+IFERROR(MATCH([@案件狀況],{"尚未偵破","已破獲未移送","已移送","簽結"},0),0)*100+ROW(),0)</f>
        <v/>
      </c>
      <c r="W194" s="227" t="n"/>
      <c r="X194" s="15">
        <f>IFERROR(IF([@績效類別]="","是","否"),"是")</f>
        <v/>
      </c>
      <c r="Y194" s="227" t="n"/>
    </row>
    <row r="195" ht="30" customHeight="1">
      <c r="A195" s="227" t="n"/>
      <c r="B195" s="227" t="n"/>
      <c r="C195" s="227" t="n"/>
      <c r="D195" s="228" t="n"/>
      <c r="E195" s="227" t="n"/>
      <c r="F195" s="228" t="n"/>
      <c r="G195" s="227" t="n"/>
      <c r="H195" s="227" t="n"/>
      <c r="I195" s="227" t="n"/>
      <c r="J195" s="227" t="n"/>
      <c r="K195" s="227" t="n"/>
      <c r="L195" s="227" t="n"/>
      <c r="M195" s="227" t="n"/>
      <c r="N195" s="227" t="n"/>
      <c r="O195" s="229" t="n"/>
      <c r="P195" s="230" t="n"/>
      <c r="Q195" s="227" t="n"/>
      <c r="R195" s="15">
        <f>IFERROR(IF(OR([@案件狀況]="已破獲未移送",[@案件狀況]="已移送"),"是","否"),"")</f>
        <v/>
      </c>
      <c r="S195" s="15">
        <f>IFERROR(IF([@發生時間]="","",YEAR([@發生時間])-1911),"")</f>
        <v/>
      </c>
      <c r="T195" s="15">
        <f>IFERROR(INDEX(案類分類清單,MATCH([@案類],案類名稱清單,0)),"")</f>
        <v/>
      </c>
      <c r="U195" s="15">
        <f>IFERROR(INDEX(納入全般清單,MATCH([@案類],案類名稱清單,0)),"否")</f>
        <v/>
      </c>
      <c r="V195" s="15">
        <f>IFERROR([@歸屬年度]*10000+IFERROR(MATCH([@案件狀況],{"尚未偵破","已破獲未移送","已移送","簽結"},0),0)*100+ROW(),0)</f>
        <v/>
      </c>
      <c r="W195" s="227" t="n"/>
      <c r="X195" s="15">
        <f>IFERROR(IF([@績效類別]="","是","否"),"是")</f>
        <v/>
      </c>
      <c r="Y195" s="227" t="n"/>
    </row>
    <row r="196" ht="30" customHeight="1">
      <c r="A196" s="227" t="n"/>
      <c r="B196" s="227" t="n"/>
      <c r="C196" s="227" t="n"/>
      <c r="D196" s="228" t="n"/>
      <c r="E196" s="227" t="n"/>
      <c r="F196" s="228" t="n"/>
      <c r="G196" s="227" t="n"/>
      <c r="H196" s="227" t="n"/>
      <c r="I196" s="227" t="n"/>
      <c r="J196" s="227" t="n"/>
      <c r="K196" s="227" t="n"/>
      <c r="L196" s="227" t="n"/>
      <c r="M196" s="227" t="n"/>
      <c r="N196" s="227" t="n"/>
      <c r="O196" s="229" t="n"/>
      <c r="P196" s="230" t="n"/>
      <c r="Q196" s="227" t="n"/>
      <c r="R196" s="15">
        <f>IFERROR(IF(OR([@案件狀況]="已破獲未移送",[@案件狀況]="已移送"),"是","否"),"")</f>
        <v/>
      </c>
      <c r="S196" s="15">
        <f>IFERROR(IF([@發生時間]="","",YEAR([@發生時間])-1911),"")</f>
        <v/>
      </c>
      <c r="T196" s="15">
        <f>IFERROR(INDEX(案類分類清單,MATCH([@案類],案類名稱清單,0)),"")</f>
        <v/>
      </c>
      <c r="U196" s="15">
        <f>IFERROR(INDEX(納入全般清單,MATCH([@案類],案類名稱清單,0)),"否")</f>
        <v/>
      </c>
      <c r="V196" s="15">
        <f>IFERROR([@歸屬年度]*10000+IFERROR(MATCH([@案件狀況],{"尚未偵破","已破獲未移送","已移送","簽結"},0),0)*100+ROW(),0)</f>
        <v/>
      </c>
      <c r="W196" s="227" t="n"/>
      <c r="X196" s="15">
        <f>IFERROR(IF([@績效類別]="","是","否"),"是")</f>
        <v/>
      </c>
      <c r="Y196" s="227" t="n"/>
    </row>
    <row r="197" ht="30" customHeight="1">
      <c r="A197" s="227" t="n"/>
      <c r="B197" s="227" t="n"/>
      <c r="C197" s="227" t="n"/>
      <c r="D197" s="228" t="n"/>
      <c r="E197" s="227" t="n"/>
      <c r="F197" s="228" t="n"/>
      <c r="G197" s="227" t="n"/>
      <c r="H197" s="227" t="n"/>
      <c r="I197" s="227" t="n"/>
      <c r="J197" s="227" t="n"/>
      <c r="K197" s="227" t="n"/>
      <c r="L197" s="227" t="n"/>
      <c r="M197" s="227" t="n"/>
      <c r="N197" s="227" t="n"/>
      <c r="O197" s="229" t="n"/>
      <c r="P197" s="230" t="n"/>
      <c r="Q197" s="227" t="n"/>
      <c r="R197" s="15">
        <f>IFERROR(IF(OR([@案件狀況]="已破獲未移送",[@案件狀況]="已移送"),"是","否"),"")</f>
        <v/>
      </c>
      <c r="S197" s="15">
        <f>IFERROR(IF([@發生時間]="","",YEAR([@發生時間])-1911),"")</f>
        <v/>
      </c>
      <c r="T197" s="15">
        <f>IFERROR(INDEX(案類分類清單,MATCH([@案類],案類名稱清單,0)),"")</f>
        <v/>
      </c>
      <c r="U197" s="15">
        <f>IFERROR(INDEX(納入全般清單,MATCH([@案類],案類名稱清單,0)),"否")</f>
        <v/>
      </c>
      <c r="V197" s="15">
        <f>IFERROR([@歸屬年度]*10000+IFERROR(MATCH([@案件狀況],{"尚未偵破","已破獲未移送","已移送","簽結"},0),0)*100+ROW(),0)</f>
        <v/>
      </c>
      <c r="W197" s="227" t="n"/>
      <c r="X197" s="15">
        <f>IFERROR(IF([@績效類別]="","是","否"),"是")</f>
        <v/>
      </c>
      <c r="Y197" s="227" t="n"/>
    </row>
    <row r="198" ht="30" customHeight="1">
      <c r="A198" s="227" t="n"/>
      <c r="B198" s="227" t="n"/>
      <c r="C198" s="227" t="n"/>
      <c r="D198" s="228" t="n"/>
      <c r="E198" s="227" t="n"/>
      <c r="F198" s="228" t="n"/>
      <c r="G198" s="227" t="n"/>
      <c r="H198" s="227" t="n"/>
      <c r="I198" s="227" t="n"/>
      <c r="J198" s="227" t="n"/>
      <c r="K198" s="227" t="n"/>
      <c r="L198" s="227" t="n"/>
      <c r="M198" s="227" t="n"/>
      <c r="N198" s="227" t="n"/>
      <c r="O198" s="229" t="n"/>
      <c r="P198" s="230" t="n"/>
      <c r="Q198" s="227" t="n"/>
      <c r="R198" s="15">
        <f>IFERROR(IF(OR([@案件狀況]="已破獲未移送",[@案件狀況]="已移送"),"是","否"),"")</f>
        <v/>
      </c>
      <c r="S198" s="15">
        <f>IFERROR(IF([@發生時間]="","",YEAR([@發生時間])-1911),"")</f>
        <v/>
      </c>
      <c r="T198" s="15">
        <f>IFERROR(INDEX(案類分類清單,MATCH([@案類],案類名稱清單,0)),"")</f>
        <v/>
      </c>
      <c r="U198" s="15">
        <f>IFERROR(INDEX(納入全般清單,MATCH([@案類],案類名稱清單,0)),"否")</f>
        <v/>
      </c>
      <c r="V198" s="15">
        <f>IFERROR([@歸屬年度]*10000+IFERROR(MATCH([@案件狀況],{"尚未偵破","已破獲未移送","已移送","簽結"},0),0)*100+ROW(),0)</f>
        <v/>
      </c>
      <c r="W198" s="227" t="n"/>
      <c r="X198" s="15">
        <f>IFERROR(IF([@績效類別]="","是","否"),"是")</f>
        <v/>
      </c>
      <c r="Y198" s="227" t="n"/>
    </row>
    <row r="199" ht="30" customHeight="1">
      <c r="A199" s="227" t="n"/>
      <c r="B199" s="227" t="n"/>
      <c r="C199" s="227" t="n"/>
      <c r="D199" s="228" t="n"/>
      <c r="E199" s="227" t="n"/>
      <c r="F199" s="228" t="n"/>
      <c r="G199" s="227" t="n"/>
      <c r="H199" s="227" t="n"/>
      <c r="I199" s="227" t="n"/>
      <c r="J199" s="227" t="n"/>
      <c r="K199" s="227" t="n"/>
      <c r="L199" s="227" t="n"/>
      <c r="M199" s="227" t="n"/>
      <c r="N199" s="227" t="n"/>
      <c r="O199" s="229" t="n"/>
      <c r="P199" s="230" t="n"/>
      <c r="Q199" s="227" t="n"/>
      <c r="R199" s="15">
        <f>IFERROR(IF(OR([@案件狀況]="已破獲未移送",[@案件狀況]="已移送"),"是","否"),"")</f>
        <v/>
      </c>
      <c r="S199" s="15">
        <f>IFERROR(IF([@發生時間]="","",YEAR([@發生時間])-1911),"")</f>
        <v/>
      </c>
      <c r="T199" s="15">
        <f>IFERROR(INDEX(案類分類清單,MATCH([@案類],案類名稱清單,0)),"")</f>
        <v/>
      </c>
      <c r="U199" s="15">
        <f>IFERROR(INDEX(納入全般清單,MATCH([@案類],案類名稱清單,0)),"否")</f>
        <v/>
      </c>
      <c r="V199" s="15">
        <f>IFERROR([@歸屬年度]*10000+IFERROR(MATCH([@案件狀況],{"尚未偵破","已破獲未移送","已移送","簽結"},0),0)*100+ROW(),0)</f>
        <v/>
      </c>
      <c r="W199" s="227" t="n"/>
      <c r="X199" s="15">
        <f>IFERROR(IF([@績效類別]="","是","否"),"是")</f>
        <v/>
      </c>
      <c r="Y199" s="227" t="n"/>
    </row>
    <row r="200" ht="30" customHeight="1">
      <c r="A200" s="227" t="n"/>
      <c r="B200" s="227" t="n"/>
      <c r="C200" s="227" t="n"/>
      <c r="D200" s="228" t="n"/>
      <c r="E200" s="227" t="n"/>
      <c r="F200" s="228" t="n"/>
      <c r="G200" s="227" t="n"/>
      <c r="H200" s="227" t="n"/>
      <c r="I200" s="227" t="n"/>
      <c r="J200" s="227" t="n"/>
      <c r="K200" s="227" t="n"/>
      <c r="L200" s="227" t="n"/>
      <c r="M200" s="227" t="n"/>
      <c r="N200" s="227" t="n"/>
      <c r="O200" s="229" t="n"/>
      <c r="P200" s="230" t="n"/>
      <c r="Q200" s="227" t="n"/>
      <c r="R200" s="15">
        <f>IFERROR(IF(OR([@案件狀況]="已破獲未移送",[@案件狀況]="已移送"),"是","否"),"")</f>
        <v/>
      </c>
      <c r="S200" s="15">
        <f>IFERROR(IF([@發生時間]="","",YEAR([@發生時間])-1911),"")</f>
        <v/>
      </c>
      <c r="T200" s="15">
        <f>IFERROR(INDEX(案類分類清單,MATCH([@案類],案類名稱清單,0)),"")</f>
        <v/>
      </c>
      <c r="U200" s="15">
        <f>IFERROR(INDEX(納入全般清單,MATCH([@案類],案類名稱清單,0)),"否")</f>
        <v/>
      </c>
      <c r="V200" s="15">
        <f>IFERROR([@歸屬年度]*10000+IFERROR(MATCH([@案件狀況],{"尚未偵破","已破獲未移送","已移送","簽結"},0),0)*100+ROW(),0)</f>
        <v/>
      </c>
      <c r="W200" s="227" t="n"/>
      <c r="X200" s="15">
        <f>IFERROR(IF([@績效類別]="","是","否"),"是")</f>
        <v/>
      </c>
      <c r="Y200" s="227" t="n"/>
    </row>
    <row r="201" ht="30" customHeight="1">
      <c r="A201" s="227" t="n"/>
      <c r="B201" s="227" t="n"/>
      <c r="C201" s="227" t="n"/>
      <c r="D201" s="228" t="n"/>
      <c r="E201" s="227" t="n"/>
      <c r="F201" s="228" t="n"/>
      <c r="G201" s="227" t="n"/>
      <c r="H201" s="227" t="n"/>
      <c r="I201" s="227" t="n"/>
      <c r="J201" s="227" t="n"/>
      <c r="K201" s="227" t="n"/>
      <c r="L201" s="227" t="n"/>
      <c r="M201" s="227" t="n"/>
      <c r="N201" s="227" t="n"/>
      <c r="O201" s="229" t="n"/>
      <c r="P201" s="230" t="n"/>
      <c r="Q201" s="227" t="n"/>
      <c r="R201" s="15">
        <f>IFERROR(IF(OR([@案件狀況]="已破獲未移送",[@案件狀況]="已移送"),"是","否"),"")</f>
        <v/>
      </c>
      <c r="S201" s="15">
        <f>IFERROR(IF([@發生時間]="","",YEAR([@發生時間])-1911),"")</f>
        <v/>
      </c>
      <c r="T201" s="15">
        <f>IFERROR(INDEX(案類分類清單,MATCH([@案類],案類名稱清單,0)),"")</f>
        <v/>
      </c>
      <c r="U201" s="15">
        <f>IFERROR(INDEX(納入全般清單,MATCH([@案類],案類名稱清單,0)),"否")</f>
        <v/>
      </c>
      <c r="V201" s="15">
        <f>IFERROR([@歸屬年度]*10000+IFERROR(MATCH([@案件狀況],{"尚未偵破","已破獲未移送","已移送","簽結"},0),0)*100+ROW(),0)</f>
        <v/>
      </c>
      <c r="W201" s="227" t="n"/>
      <c r="X201" s="15">
        <f>IFERROR(IF([@績效類別]="","是","否"),"是")</f>
        <v/>
      </c>
      <c r="Y201" s="227" t="n"/>
    </row>
    <row r="202" ht="30" customHeight="1">
      <c r="A202" s="227" t="n"/>
      <c r="B202" s="227" t="n"/>
      <c r="C202" s="227" t="n"/>
      <c r="D202" s="228" t="n"/>
      <c r="E202" s="227" t="n"/>
      <c r="F202" s="228" t="n"/>
      <c r="G202" s="227" t="n"/>
      <c r="H202" s="227" t="n"/>
      <c r="I202" s="227" t="n"/>
      <c r="J202" s="227" t="n"/>
      <c r="K202" s="227" t="n"/>
      <c r="L202" s="227" t="n"/>
      <c r="M202" s="227" t="n"/>
      <c r="N202" s="227" t="n"/>
      <c r="O202" s="229" t="n"/>
      <c r="P202" s="230" t="n"/>
      <c r="Q202" s="227" t="n"/>
      <c r="R202" s="15">
        <f>IFERROR(IF(OR([@案件狀況]="已破獲未移送",[@案件狀況]="已移送"),"是","否"),"")</f>
        <v/>
      </c>
      <c r="S202" s="15">
        <f>IFERROR(IF([@發生時間]="","",YEAR([@發生時間])-1911),"")</f>
        <v/>
      </c>
      <c r="T202" s="15">
        <f>IFERROR(INDEX(案類分類清單,MATCH([@案類],案類名稱清單,0)),"")</f>
        <v/>
      </c>
      <c r="U202" s="15">
        <f>IFERROR(INDEX(納入全般清單,MATCH([@案類],案類名稱清單,0)),"否")</f>
        <v/>
      </c>
      <c r="V202" s="15">
        <f>IFERROR([@歸屬年度]*10000+IFERROR(MATCH([@案件狀況],{"尚未偵破","已破獲未移送","已移送","簽結"},0),0)*100+ROW(),0)</f>
        <v/>
      </c>
      <c r="W202" s="227" t="n"/>
      <c r="X202" s="15">
        <f>IFERROR(IF([@績效類別]="","是","否"),"是")</f>
        <v/>
      </c>
      <c r="Y202" s="227" t="n"/>
    </row>
    <row r="203" ht="30" customHeight="1">
      <c r="A203" s="227" t="n"/>
      <c r="B203" s="227" t="n"/>
      <c r="C203" s="227" t="n"/>
      <c r="D203" s="228" t="n"/>
      <c r="E203" s="227" t="n"/>
      <c r="F203" s="228" t="n"/>
      <c r="G203" s="227" t="n"/>
      <c r="H203" s="227" t="n"/>
      <c r="I203" s="227" t="n"/>
      <c r="J203" s="227" t="n"/>
      <c r="K203" s="227" t="n"/>
      <c r="L203" s="227" t="n"/>
      <c r="M203" s="227" t="n"/>
      <c r="N203" s="227" t="n"/>
      <c r="O203" s="229" t="n"/>
      <c r="P203" s="230" t="n"/>
      <c r="Q203" s="227" t="n"/>
      <c r="R203" s="15">
        <f>IFERROR(IF(OR([@案件狀況]="已破獲未移送",[@案件狀況]="已移送"),"是","否"),"")</f>
        <v/>
      </c>
      <c r="S203" s="15">
        <f>IFERROR(IF([@發生時間]="","",YEAR([@發生時間])-1911),"")</f>
        <v/>
      </c>
      <c r="T203" s="15">
        <f>IFERROR(INDEX(案類分類清單,MATCH([@案類],案類名稱清單,0)),"")</f>
        <v/>
      </c>
      <c r="U203" s="15">
        <f>IFERROR(INDEX(納入全般清單,MATCH([@案類],案類名稱清單,0)),"否")</f>
        <v/>
      </c>
      <c r="V203" s="15">
        <f>IFERROR([@歸屬年度]*10000+IFERROR(MATCH([@案件狀況],{"尚未偵破","已破獲未移送","已移送","簽結"},0),0)*100+ROW(),0)</f>
        <v/>
      </c>
      <c r="W203" s="227" t="n"/>
      <c r="X203" s="15">
        <f>IFERROR(IF([@績效類別]="","是","否"),"是")</f>
        <v/>
      </c>
      <c r="Y203" s="227" t="n"/>
    </row>
    <row r="204" ht="30" customHeight="1">
      <c r="A204" s="227" t="n"/>
      <c r="B204" s="227" t="n"/>
      <c r="C204" s="227" t="n"/>
      <c r="D204" s="228" t="n"/>
      <c r="E204" s="227" t="n"/>
      <c r="F204" s="228" t="n"/>
      <c r="G204" s="227" t="n"/>
      <c r="H204" s="227" t="n"/>
      <c r="I204" s="227" t="n"/>
      <c r="J204" s="227" t="n"/>
      <c r="K204" s="227" t="n"/>
      <c r="L204" s="227" t="n"/>
      <c r="M204" s="227" t="n"/>
      <c r="N204" s="227" t="n"/>
      <c r="O204" s="229" t="n"/>
      <c r="P204" s="230" t="n"/>
      <c r="Q204" s="227" t="n"/>
      <c r="R204" s="15">
        <f>IFERROR(IF(OR([@案件狀況]="已破獲未移送",[@案件狀況]="已移送"),"是","否"),"")</f>
        <v/>
      </c>
      <c r="S204" s="15">
        <f>IFERROR(IF([@發生時間]="","",YEAR([@發生時間])-1911),"")</f>
        <v/>
      </c>
      <c r="T204" s="15">
        <f>IFERROR(INDEX(案類分類清單,MATCH([@案類],案類名稱清單,0)),"")</f>
        <v/>
      </c>
      <c r="U204" s="15">
        <f>IFERROR(INDEX(納入全般清單,MATCH([@案類],案類名稱清單,0)),"否")</f>
        <v/>
      </c>
      <c r="V204" s="15">
        <f>IFERROR([@歸屬年度]*10000+IFERROR(MATCH([@案件狀況],{"尚未偵破","已破獲未移送","已移送","簽結"},0),0)*100+ROW(),0)</f>
        <v/>
      </c>
      <c r="W204" s="227" t="n"/>
      <c r="X204" s="15">
        <f>IFERROR(IF([@績效類別]="","是","否"),"是")</f>
        <v/>
      </c>
      <c r="Y204" s="227" t="n"/>
    </row>
    <row r="205" ht="30" customHeight="1">
      <c r="A205" s="227" t="n"/>
      <c r="B205" s="227" t="n"/>
      <c r="C205" s="227" t="n"/>
      <c r="D205" s="228" t="n"/>
      <c r="E205" s="227" t="n"/>
      <c r="F205" s="228" t="n"/>
      <c r="G205" s="227" t="n"/>
      <c r="H205" s="227" t="n"/>
      <c r="I205" s="227" t="n"/>
      <c r="J205" s="227" t="n"/>
      <c r="K205" s="227" t="n"/>
      <c r="L205" s="227" t="n"/>
      <c r="M205" s="227" t="n"/>
      <c r="N205" s="227" t="n"/>
      <c r="O205" s="229" t="n"/>
      <c r="P205" s="230" t="n"/>
      <c r="Q205" s="227" t="n"/>
      <c r="R205" s="15">
        <f>IFERROR(IF(OR([@案件狀況]="已破獲未移送",[@案件狀況]="已移送"),"是","否"),"")</f>
        <v/>
      </c>
      <c r="S205" s="15">
        <f>IFERROR(IF([@發生時間]="","",YEAR([@發生時間])-1911),"")</f>
        <v/>
      </c>
      <c r="T205" s="15">
        <f>IFERROR(INDEX(案類分類清單,MATCH([@案類],案類名稱清單,0)),"")</f>
        <v/>
      </c>
      <c r="U205" s="15">
        <f>IFERROR(INDEX(納入全般清單,MATCH([@案類],案類名稱清單,0)),"否")</f>
        <v/>
      </c>
      <c r="V205" s="15">
        <f>IFERROR([@歸屬年度]*10000+IFERROR(MATCH([@案件狀況],{"尚未偵破","已破獲未移送","已移送","簽結"},0),0)*100+ROW(),0)</f>
        <v/>
      </c>
      <c r="W205" s="227" t="n"/>
      <c r="X205" s="15">
        <f>IFERROR(IF([@績效類別]="","是","否"),"是")</f>
        <v/>
      </c>
      <c r="Y205" s="227" t="n"/>
    </row>
    <row r="206" ht="30" customHeight="1">
      <c r="A206" s="227" t="n"/>
      <c r="B206" s="227" t="n"/>
      <c r="C206" s="227" t="n"/>
      <c r="D206" s="228" t="n"/>
      <c r="E206" s="227" t="n"/>
      <c r="F206" s="228" t="n"/>
      <c r="G206" s="227" t="n"/>
      <c r="H206" s="227" t="n"/>
      <c r="I206" s="227" t="n"/>
      <c r="J206" s="227" t="n"/>
      <c r="K206" s="227" t="n"/>
      <c r="L206" s="227" t="n"/>
      <c r="M206" s="227" t="n"/>
      <c r="N206" s="227" t="n"/>
      <c r="O206" s="229" t="n"/>
      <c r="P206" s="230" t="n"/>
      <c r="Q206" s="227" t="n"/>
      <c r="R206" s="15">
        <f>IFERROR(IF(OR([@案件狀況]="已破獲未移送",[@案件狀況]="已移送"),"是","否"),"")</f>
        <v/>
      </c>
      <c r="S206" s="15">
        <f>IFERROR(IF([@發生時間]="","",YEAR([@發生時間])-1911),"")</f>
        <v/>
      </c>
      <c r="T206" s="15">
        <f>IFERROR(INDEX(案類分類清單,MATCH([@案類],案類名稱清單,0)),"")</f>
        <v/>
      </c>
      <c r="U206" s="15">
        <f>IFERROR(INDEX(納入全般清單,MATCH([@案類],案類名稱清單,0)),"否")</f>
        <v/>
      </c>
      <c r="V206" s="15">
        <f>IFERROR([@歸屬年度]*10000+IFERROR(MATCH([@案件狀況],{"尚未偵破","已破獲未移送","已移送","簽結"},0),0)*100+ROW(),0)</f>
        <v/>
      </c>
      <c r="W206" s="227" t="n"/>
      <c r="X206" s="15">
        <f>IFERROR(IF([@績效類別]="","是","否"),"是")</f>
        <v/>
      </c>
      <c r="Y206" s="227" t="n"/>
    </row>
    <row r="207" ht="30" customHeight="1">
      <c r="A207" s="227" t="n"/>
      <c r="B207" s="227" t="n"/>
      <c r="C207" s="227" t="n"/>
      <c r="D207" s="228" t="n"/>
      <c r="E207" s="227" t="n"/>
      <c r="F207" s="228" t="n"/>
      <c r="G207" s="227" t="n"/>
      <c r="H207" s="227" t="n"/>
      <c r="I207" s="227" t="n"/>
      <c r="J207" s="227" t="n"/>
      <c r="K207" s="227" t="n"/>
      <c r="L207" s="227" t="n"/>
      <c r="M207" s="227" t="n"/>
      <c r="N207" s="227" t="n"/>
      <c r="O207" s="229" t="n"/>
      <c r="P207" s="230" t="n"/>
      <c r="Q207" s="227" t="n"/>
      <c r="R207" s="15">
        <f>IFERROR(IF(OR([@案件狀況]="已破獲未移送",[@案件狀況]="已移送"),"是","否"),"")</f>
        <v/>
      </c>
      <c r="S207" s="15">
        <f>IFERROR(IF([@發生時間]="","",YEAR([@發生時間])-1911),"")</f>
        <v/>
      </c>
      <c r="T207" s="15">
        <f>IFERROR(INDEX(案類分類清單,MATCH([@案類],案類名稱清單,0)),"")</f>
        <v/>
      </c>
      <c r="U207" s="15">
        <f>IFERROR(INDEX(納入全般清單,MATCH([@案類],案類名稱清單,0)),"否")</f>
        <v/>
      </c>
      <c r="V207" s="15">
        <f>IFERROR([@歸屬年度]*10000+IFERROR(MATCH([@案件狀況],{"尚未偵破","已破獲未移送","已移送","簽結"},0),0)*100+ROW(),0)</f>
        <v/>
      </c>
      <c r="W207" s="227" t="n"/>
      <c r="X207" s="15">
        <f>IFERROR(IF([@績效類別]="","是","否"),"是")</f>
        <v/>
      </c>
      <c r="Y207" s="227" t="n"/>
    </row>
    <row r="208" ht="30" customHeight="1">
      <c r="A208" s="227" t="n"/>
      <c r="B208" s="227" t="n"/>
      <c r="C208" s="227" t="n"/>
      <c r="D208" s="228" t="n"/>
      <c r="E208" s="227" t="n"/>
      <c r="F208" s="228" t="n"/>
      <c r="G208" s="227" t="n"/>
      <c r="H208" s="227" t="n"/>
      <c r="I208" s="227" t="n"/>
      <c r="J208" s="227" t="n"/>
      <c r="K208" s="227" t="n"/>
      <c r="L208" s="227" t="n"/>
      <c r="M208" s="227" t="n"/>
      <c r="N208" s="227" t="n"/>
      <c r="O208" s="229" t="n"/>
      <c r="P208" s="230" t="n"/>
      <c r="Q208" s="227" t="n"/>
      <c r="R208" s="15">
        <f>IFERROR(IF(OR([@案件狀況]="已破獲未移送",[@案件狀況]="已移送"),"是","否"),"")</f>
        <v/>
      </c>
      <c r="S208" s="15">
        <f>IFERROR(IF([@發生時間]="","",YEAR([@發生時間])-1911),"")</f>
        <v/>
      </c>
      <c r="T208" s="15">
        <f>IFERROR(INDEX(案類分類清單,MATCH([@案類],案類名稱清單,0)),"")</f>
        <v/>
      </c>
      <c r="U208" s="15">
        <f>IFERROR(INDEX(納入全般清單,MATCH([@案類],案類名稱清單,0)),"否")</f>
        <v/>
      </c>
      <c r="V208" s="15">
        <f>IFERROR([@歸屬年度]*10000+IFERROR(MATCH([@案件狀況],{"尚未偵破","已破獲未移送","已移送","簽結"},0),0)*100+ROW(),0)</f>
        <v/>
      </c>
      <c r="W208" s="227" t="n"/>
      <c r="X208" s="15">
        <f>IFERROR(IF([@績效類別]="","是","否"),"是")</f>
        <v/>
      </c>
      <c r="Y208" s="227" t="n"/>
    </row>
    <row r="209" ht="30" customHeight="1">
      <c r="A209" s="227" t="n"/>
      <c r="B209" s="227" t="n"/>
      <c r="C209" s="227" t="n"/>
      <c r="D209" s="228" t="n"/>
      <c r="E209" s="227" t="n"/>
      <c r="F209" s="228" t="n"/>
      <c r="G209" s="227" t="n"/>
      <c r="H209" s="227" t="n"/>
      <c r="I209" s="227" t="n"/>
      <c r="J209" s="227" t="n"/>
      <c r="K209" s="227" t="n"/>
      <c r="L209" s="227" t="n"/>
      <c r="M209" s="227" t="n"/>
      <c r="N209" s="227" t="n"/>
      <c r="O209" s="229" t="n"/>
      <c r="P209" s="230" t="n"/>
      <c r="Q209" s="227" t="n"/>
      <c r="R209" s="15">
        <f>IFERROR(IF(OR([@案件狀況]="已破獲未移送",[@案件狀況]="已移送"),"是","否"),"")</f>
        <v/>
      </c>
      <c r="S209" s="15">
        <f>IFERROR(IF([@發生時間]="","",YEAR([@發生時間])-1911),"")</f>
        <v/>
      </c>
      <c r="T209" s="15">
        <f>IFERROR(INDEX(案類分類清單,MATCH([@案類],案類名稱清單,0)),"")</f>
        <v/>
      </c>
      <c r="U209" s="15">
        <f>IFERROR(INDEX(納入全般清單,MATCH([@案類],案類名稱清單,0)),"否")</f>
        <v/>
      </c>
      <c r="V209" s="15">
        <f>IFERROR([@歸屬年度]*10000+IFERROR(MATCH([@案件狀況],{"尚未偵破","已破獲未移送","已移送","簽結"},0),0)*100+ROW(),0)</f>
        <v/>
      </c>
      <c r="W209" s="227" t="n"/>
      <c r="X209" s="15">
        <f>IFERROR(IF([@績效類別]="","是","否"),"是")</f>
        <v/>
      </c>
      <c r="Y209" s="227" t="n"/>
    </row>
    <row r="210" ht="30" customHeight="1">
      <c r="A210" s="227" t="n"/>
      <c r="B210" s="227" t="n"/>
      <c r="C210" s="227" t="n"/>
      <c r="D210" s="228" t="n"/>
      <c r="E210" s="227" t="n"/>
      <c r="F210" s="228" t="n"/>
      <c r="G210" s="227" t="n"/>
      <c r="H210" s="227" t="n"/>
      <c r="I210" s="227" t="n"/>
      <c r="J210" s="227" t="n"/>
      <c r="K210" s="227" t="n"/>
      <c r="L210" s="227" t="n"/>
      <c r="M210" s="227" t="n"/>
      <c r="N210" s="227" t="n"/>
      <c r="O210" s="229" t="n"/>
      <c r="P210" s="230" t="n"/>
      <c r="Q210" s="227" t="n"/>
      <c r="R210" s="15">
        <f>IFERROR(IF(OR([@案件狀況]="已破獲未移送",[@案件狀況]="已移送"),"是","否"),"")</f>
        <v/>
      </c>
      <c r="S210" s="15">
        <f>IFERROR(IF([@發生時間]="","",YEAR([@發生時間])-1911),"")</f>
        <v/>
      </c>
      <c r="T210" s="15">
        <f>IFERROR(INDEX(案類分類清單,MATCH([@案類],案類名稱清單,0)),"")</f>
        <v/>
      </c>
      <c r="U210" s="15">
        <f>IFERROR(INDEX(納入全般清單,MATCH([@案類],案類名稱清單,0)),"否")</f>
        <v/>
      </c>
      <c r="V210" s="15">
        <f>IFERROR([@歸屬年度]*10000+IFERROR(MATCH([@案件狀況],{"尚未偵破","已破獲未移送","已移送","簽結"},0),0)*100+ROW(),0)</f>
        <v/>
      </c>
      <c r="W210" s="227" t="n"/>
      <c r="X210" s="15">
        <f>IFERROR(IF([@績效類別]="","是","否"),"是")</f>
        <v/>
      </c>
      <c r="Y210" s="227" t="n"/>
    </row>
    <row r="211" ht="30" customHeight="1">
      <c r="A211" s="227" t="n"/>
      <c r="B211" s="227" t="n"/>
      <c r="C211" s="227" t="n"/>
      <c r="D211" s="228" t="n"/>
      <c r="E211" s="227" t="n"/>
      <c r="F211" s="228" t="n"/>
      <c r="G211" s="227" t="n"/>
      <c r="H211" s="227" t="n"/>
      <c r="I211" s="227" t="n"/>
      <c r="J211" s="227" t="n"/>
      <c r="K211" s="227" t="n"/>
      <c r="L211" s="227" t="n"/>
      <c r="M211" s="227" t="n"/>
      <c r="N211" s="227" t="n"/>
      <c r="O211" s="229" t="n"/>
      <c r="P211" s="230" t="n"/>
      <c r="Q211" s="227" t="n"/>
      <c r="R211" s="15">
        <f>IFERROR(IF(OR([@案件狀況]="已破獲未移送",[@案件狀況]="已移送"),"是","否"),"")</f>
        <v/>
      </c>
      <c r="S211" s="15">
        <f>IFERROR(IF([@發生時間]="","",YEAR([@發生時間])-1911),"")</f>
        <v/>
      </c>
      <c r="T211" s="15">
        <f>IFERROR(INDEX(案類分類清單,MATCH([@案類],案類名稱清單,0)),"")</f>
        <v/>
      </c>
      <c r="U211" s="15">
        <f>IFERROR(INDEX(納入全般清單,MATCH([@案類],案類名稱清單,0)),"否")</f>
        <v/>
      </c>
      <c r="V211" s="15">
        <f>IFERROR([@歸屬年度]*10000+IFERROR(MATCH([@案件狀況],{"尚未偵破","已破獲未移送","已移送","簽結"},0),0)*100+ROW(),0)</f>
        <v/>
      </c>
      <c r="W211" s="227" t="n"/>
      <c r="X211" s="15">
        <f>IFERROR(IF([@績效類別]="","是","否"),"是")</f>
        <v/>
      </c>
      <c r="Y211" s="227" t="n"/>
    </row>
    <row r="212" ht="30" customHeight="1">
      <c r="A212" s="227" t="n"/>
      <c r="B212" s="227" t="n"/>
      <c r="C212" s="227" t="n"/>
      <c r="D212" s="228" t="n"/>
      <c r="E212" s="227" t="n"/>
      <c r="F212" s="228" t="n"/>
      <c r="G212" s="227" t="n"/>
      <c r="H212" s="227" t="n"/>
      <c r="I212" s="227" t="n"/>
      <c r="J212" s="227" t="n"/>
      <c r="K212" s="227" t="n"/>
      <c r="L212" s="227" t="n"/>
      <c r="M212" s="227" t="n"/>
      <c r="N212" s="227" t="n"/>
      <c r="O212" s="229" t="n"/>
      <c r="P212" s="230" t="n"/>
      <c r="Q212" s="227" t="n"/>
      <c r="R212" s="15">
        <f>IFERROR(IF(OR([@案件狀況]="已破獲未移送",[@案件狀況]="已移送"),"是","否"),"")</f>
        <v/>
      </c>
      <c r="S212" s="15">
        <f>IFERROR(IF([@發生時間]="","",YEAR([@發生時間])-1911),"")</f>
        <v/>
      </c>
      <c r="T212" s="15">
        <f>IFERROR(INDEX(案類分類清單,MATCH([@案類],案類名稱清單,0)),"")</f>
        <v/>
      </c>
      <c r="U212" s="15">
        <f>IFERROR(INDEX(納入全般清單,MATCH([@案類],案類名稱清單,0)),"否")</f>
        <v/>
      </c>
      <c r="V212" s="15">
        <f>IFERROR([@歸屬年度]*10000+IFERROR(MATCH([@案件狀況],{"尚未偵破","已破獲未移送","已移送","簽結"},0),0)*100+ROW(),0)</f>
        <v/>
      </c>
      <c r="W212" s="227" t="n"/>
      <c r="X212" s="15">
        <f>IFERROR(IF([@績效類別]="","是","否"),"是")</f>
        <v/>
      </c>
      <c r="Y212" s="227" t="n"/>
    </row>
    <row r="213" ht="30" customHeight="1">
      <c r="A213" s="227" t="n"/>
      <c r="B213" s="227" t="n"/>
      <c r="C213" s="227" t="n"/>
      <c r="D213" s="228" t="n"/>
      <c r="E213" s="227" t="n"/>
      <c r="F213" s="228" t="n"/>
      <c r="G213" s="227" t="n"/>
      <c r="H213" s="227" t="n"/>
      <c r="I213" s="227" t="n"/>
      <c r="J213" s="227" t="n"/>
      <c r="K213" s="227" t="n"/>
      <c r="L213" s="227" t="n"/>
      <c r="M213" s="227" t="n"/>
      <c r="N213" s="227" t="n"/>
      <c r="O213" s="229" t="n"/>
      <c r="P213" s="230" t="n"/>
      <c r="Q213" s="227" t="n"/>
      <c r="R213" s="15">
        <f>IFERROR(IF(OR([@案件狀況]="已破獲未移送",[@案件狀況]="已移送"),"是","否"),"")</f>
        <v/>
      </c>
      <c r="S213" s="15">
        <f>IFERROR(IF([@發生時間]="","",YEAR([@發生時間])-1911),"")</f>
        <v/>
      </c>
      <c r="T213" s="15">
        <f>IFERROR(INDEX(案類分類清單,MATCH([@案類],案類名稱清單,0)),"")</f>
        <v/>
      </c>
      <c r="U213" s="15">
        <f>IFERROR(INDEX(納入全般清單,MATCH([@案類],案類名稱清單,0)),"否")</f>
        <v/>
      </c>
      <c r="V213" s="15">
        <f>IFERROR([@歸屬年度]*10000+IFERROR(MATCH([@案件狀況],{"尚未偵破","已破獲未移送","已移送","簽結"},0),0)*100+ROW(),0)</f>
        <v/>
      </c>
      <c r="W213" s="227" t="n"/>
      <c r="X213" s="15">
        <f>IFERROR(IF([@績效類別]="","是","否"),"是")</f>
        <v/>
      </c>
      <c r="Y213" s="227" t="n"/>
    </row>
    <row r="214" ht="30" customHeight="1">
      <c r="A214" s="227" t="n"/>
      <c r="B214" s="227" t="n"/>
      <c r="C214" s="227" t="n"/>
      <c r="D214" s="228" t="n"/>
      <c r="E214" s="227" t="n"/>
      <c r="F214" s="228" t="n"/>
      <c r="G214" s="227" t="n"/>
      <c r="H214" s="227" t="n"/>
      <c r="I214" s="227" t="n"/>
      <c r="J214" s="227" t="n"/>
      <c r="K214" s="227" t="n"/>
      <c r="L214" s="227" t="n"/>
      <c r="M214" s="227" t="n"/>
      <c r="N214" s="227" t="n"/>
      <c r="O214" s="229" t="n"/>
      <c r="P214" s="230" t="n"/>
      <c r="Q214" s="227" t="n"/>
      <c r="R214" s="15">
        <f>IFERROR(IF(OR([@案件狀況]="已破獲未移送",[@案件狀況]="已移送"),"是","否"),"")</f>
        <v/>
      </c>
      <c r="S214" s="15">
        <f>IFERROR(IF([@發生時間]="","",YEAR([@發生時間])-1911),"")</f>
        <v/>
      </c>
      <c r="T214" s="15">
        <f>IFERROR(INDEX(案類分類清單,MATCH([@案類],案類名稱清單,0)),"")</f>
        <v/>
      </c>
      <c r="U214" s="15">
        <f>IFERROR(INDEX(納入全般清單,MATCH([@案類],案類名稱清單,0)),"否")</f>
        <v/>
      </c>
      <c r="V214" s="15">
        <f>IFERROR([@歸屬年度]*10000+IFERROR(MATCH([@案件狀況],{"尚未偵破","已破獲未移送","已移送","簽結"},0),0)*100+ROW(),0)</f>
        <v/>
      </c>
      <c r="W214" s="227" t="n"/>
      <c r="X214" s="15">
        <f>IFERROR(IF([@績效類別]="","是","否"),"是")</f>
        <v/>
      </c>
      <c r="Y214" s="227" t="n"/>
    </row>
    <row r="215" ht="30" customHeight="1">
      <c r="A215" s="227" t="n"/>
      <c r="B215" s="227" t="n"/>
      <c r="C215" s="227" t="n"/>
      <c r="D215" s="228" t="n"/>
      <c r="E215" s="227" t="n"/>
      <c r="F215" s="228" t="n"/>
      <c r="G215" s="227" t="n"/>
      <c r="H215" s="227" t="n"/>
      <c r="I215" s="227" t="n"/>
      <c r="J215" s="227" t="n"/>
      <c r="K215" s="227" t="n"/>
      <c r="L215" s="227" t="n"/>
      <c r="M215" s="227" t="n"/>
      <c r="N215" s="227" t="n"/>
      <c r="O215" s="229" t="n"/>
      <c r="P215" s="230" t="n"/>
      <c r="Q215" s="227" t="n"/>
      <c r="R215" s="15">
        <f>IFERROR(IF(OR([@案件狀況]="已破獲未移送",[@案件狀況]="已移送"),"是","否"),"")</f>
        <v/>
      </c>
      <c r="S215" s="15">
        <f>IFERROR(IF([@發生時間]="","",YEAR([@發生時間])-1911),"")</f>
        <v/>
      </c>
      <c r="T215" s="15">
        <f>IFERROR(INDEX(案類分類清單,MATCH([@案類],案類名稱清單,0)),"")</f>
        <v/>
      </c>
      <c r="U215" s="15">
        <f>IFERROR(INDEX(納入全般清單,MATCH([@案類],案類名稱清單,0)),"否")</f>
        <v/>
      </c>
      <c r="V215" s="15">
        <f>IFERROR([@歸屬年度]*10000+IFERROR(MATCH([@案件狀況],{"尚未偵破","已破獲未移送","已移送","簽結"},0),0)*100+ROW(),0)</f>
        <v/>
      </c>
      <c r="W215" s="227" t="n"/>
      <c r="X215" s="15">
        <f>IFERROR(IF([@績效類別]="","是","否"),"是")</f>
        <v/>
      </c>
      <c r="Y215" s="227" t="n"/>
    </row>
    <row r="216" ht="30" customHeight="1">
      <c r="A216" s="227" t="n"/>
      <c r="B216" s="227" t="n"/>
      <c r="C216" s="227" t="n"/>
      <c r="D216" s="228" t="n"/>
      <c r="E216" s="227" t="n"/>
      <c r="F216" s="228" t="n"/>
      <c r="G216" s="227" t="n"/>
      <c r="H216" s="227" t="n"/>
      <c r="I216" s="227" t="n"/>
      <c r="J216" s="227" t="n"/>
      <c r="K216" s="227" t="n"/>
      <c r="L216" s="227" t="n"/>
      <c r="M216" s="227" t="n"/>
      <c r="N216" s="227" t="n"/>
      <c r="O216" s="229" t="n"/>
      <c r="P216" s="230" t="n"/>
      <c r="Q216" s="227" t="n"/>
      <c r="R216" s="15">
        <f>IFERROR(IF(OR([@案件狀況]="已破獲未移送",[@案件狀況]="已移送"),"是","否"),"")</f>
        <v/>
      </c>
      <c r="S216" s="15">
        <f>IFERROR(IF([@發生時間]="","",YEAR([@發生時間])-1911),"")</f>
        <v/>
      </c>
      <c r="T216" s="15">
        <f>IFERROR(INDEX(案類分類清單,MATCH([@案類],案類名稱清單,0)),"")</f>
        <v/>
      </c>
      <c r="U216" s="15">
        <f>IFERROR(INDEX(納入全般清單,MATCH([@案類],案類名稱清單,0)),"否")</f>
        <v/>
      </c>
      <c r="V216" s="15">
        <f>IFERROR([@歸屬年度]*10000+IFERROR(MATCH([@案件狀況],{"尚未偵破","已破獲未移送","已移送","簽結"},0),0)*100+ROW(),0)</f>
        <v/>
      </c>
      <c r="W216" s="227" t="n"/>
      <c r="X216" s="15">
        <f>IFERROR(IF([@績效類別]="","是","否"),"是")</f>
        <v/>
      </c>
      <c r="Y216" s="227" t="n"/>
    </row>
    <row r="217" ht="30" customHeight="1">
      <c r="A217" s="227" t="n"/>
      <c r="B217" s="227" t="n"/>
      <c r="C217" s="227" t="n"/>
      <c r="D217" s="228" t="n"/>
      <c r="E217" s="227" t="n"/>
      <c r="F217" s="228" t="n"/>
      <c r="G217" s="227" t="n"/>
      <c r="H217" s="227" t="n"/>
      <c r="I217" s="227" t="n"/>
      <c r="J217" s="227" t="n"/>
      <c r="K217" s="227" t="n"/>
      <c r="L217" s="227" t="n"/>
      <c r="M217" s="227" t="n"/>
      <c r="N217" s="227" t="n"/>
      <c r="O217" s="229" t="n"/>
      <c r="P217" s="230" t="n"/>
      <c r="Q217" s="227" t="n"/>
      <c r="R217" s="15">
        <f>IFERROR(IF(OR([@案件狀況]="已破獲未移送",[@案件狀況]="已移送"),"是","否"),"")</f>
        <v/>
      </c>
      <c r="S217" s="15">
        <f>IFERROR(IF([@發生時間]="","",YEAR([@發生時間])-1911),"")</f>
        <v/>
      </c>
      <c r="T217" s="15">
        <f>IFERROR(INDEX(案類分類清單,MATCH([@案類],案類名稱清單,0)),"")</f>
        <v/>
      </c>
      <c r="U217" s="15">
        <f>IFERROR(INDEX(納入全般清單,MATCH([@案類],案類名稱清單,0)),"否")</f>
        <v/>
      </c>
      <c r="V217" s="15">
        <f>IFERROR([@歸屬年度]*10000+IFERROR(MATCH([@案件狀況],{"尚未偵破","已破獲未移送","已移送","簽結"},0),0)*100+ROW(),0)</f>
        <v/>
      </c>
      <c r="W217" s="227" t="n"/>
      <c r="X217" s="15">
        <f>IFERROR(IF([@績效類別]="","是","否"),"是")</f>
        <v/>
      </c>
      <c r="Y217" s="227" t="n"/>
    </row>
    <row r="218" ht="30" customHeight="1">
      <c r="A218" s="227" t="n"/>
      <c r="B218" s="227" t="n"/>
      <c r="C218" s="227" t="n"/>
      <c r="D218" s="228" t="n"/>
      <c r="E218" s="227" t="n"/>
      <c r="F218" s="228" t="n"/>
      <c r="G218" s="227" t="n"/>
      <c r="H218" s="227" t="n"/>
      <c r="I218" s="227" t="n"/>
      <c r="J218" s="227" t="n"/>
      <c r="K218" s="227" t="n"/>
      <c r="L218" s="227" t="n"/>
      <c r="M218" s="227" t="n"/>
      <c r="N218" s="227" t="n"/>
      <c r="O218" s="229" t="n"/>
      <c r="P218" s="230" t="n"/>
      <c r="Q218" s="227" t="n"/>
      <c r="R218" s="15">
        <f>IFERROR(IF(OR([@案件狀況]="已破獲未移送",[@案件狀況]="已移送"),"是","否"),"")</f>
        <v/>
      </c>
      <c r="S218" s="15">
        <f>IFERROR(IF([@發生時間]="","",YEAR([@發生時間])-1911),"")</f>
        <v/>
      </c>
      <c r="T218" s="15">
        <f>IFERROR(INDEX(案類分類清單,MATCH([@案類],案類名稱清單,0)),"")</f>
        <v/>
      </c>
      <c r="U218" s="15">
        <f>IFERROR(INDEX(納入全般清單,MATCH([@案類],案類名稱清單,0)),"否")</f>
        <v/>
      </c>
      <c r="V218" s="15">
        <f>IFERROR([@歸屬年度]*10000+IFERROR(MATCH([@案件狀況],{"尚未偵破","已破獲未移送","已移送","簽結"},0),0)*100+ROW(),0)</f>
        <v/>
      </c>
      <c r="W218" s="227" t="n"/>
      <c r="X218" s="15">
        <f>IFERROR(IF([@績效類別]="","是","否"),"是")</f>
        <v/>
      </c>
      <c r="Y218" s="22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9B"/>
  <mergeCells count="4">
    <mergeCell ref="A4:H4"/>
    <mergeCell ref="A2:G2"/>
    <mergeCell ref="A1:G1"/>
    <mergeCell ref="A5:H5"/>
  </mergeCells>
  <conditionalFormatting sqref="A2">
    <cfRule type="expression" priority="1" dxfId="3" stopIfTrue="1">
      <formula>COUNTA($A$15:$A$1014)&gt;=950</formula>
    </cfRule>
    <cfRule type="expression" priority="2" dxfId="8" stopIfTrue="1">
      <formula>COUNTA($A$15:$A$1014)&gt;=800</formula>
    </cfRule>
  </conditionalFormatting>
  <dataValidations count="11">
    <dataValidation sqref="B15:B218" showDropDown="0" showInputMessage="0" showErrorMessage="1" allowBlank="1" errorTitle="輸入值不合法" error="請從下拉清單選擇有效的「案類」" type="list">
      <formula1>=案類名稱清單</formula1>
    </dataValidation>
    <dataValidation sqref="I15:I218" showDropDown="0" showInputMessage="0" showErrorMessage="1" allowBlank="1" errorTitle="輸入值不合法" error="請從下拉清單選擇有效的「偵辦進度」" type="list">
      <formula1>=偵辦進度清單</formula1>
    </dataValidation>
    <dataValidation sqref="J15:J218" showDropDown="0" showInputMessage="0" showErrorMessage="1" allowBlank="1" errorTitle="輸入值不合法" error="請從下拉清單選擇有效的「案件狀況」" type="list">
      <formula1>=案件狀況清單</formula1>
    </dataValidation>
    <dataValidation sqref="K15:K218" showDropDown="0" showInputMessage="0" showErrorMessage="1" allowBlank="1" errorTitle="輸入值不合法" error="請從下拉清單選擇有效的「發生管轄」" type="list">
      <formula1>=發生管轄清單</formula1>
    </dataValidation>
    <dataValidation sqref="L15:L218" showDropDown="0" showInputMessage="0" showErrorMessage="1" allowBlank="1" errorTitle="輸入值不合法" error="請從下拉清單選擇有效的「查獲管轄」" type="list">
      <formula1>=查獲管轄清單</formula1>
    </dataValidation>
    <dataValidation sqref="M15:M218" showDropDown="0" showInputMessage="0" showErrorMessage="1" allowBlank="1" errorTitle="輸入值不合法" error="請從下拉清單選擇有效的「承辦人」" type="list">
      <formula1>=員警姓名清單</formula1>
    </dataValidation>
    <dataValidation sqref="Q15:Q218" showDropDown="0" showInputMessage="0" showErrorMessage="1" allowBlank="1" errorTitle="輸入值不合法" error="請從下拉清單選擇有效的「建立者」" type="list">
      <formula1>=員警姓名清單</formula1>
    </dataValidation>
    <dataValidation sqref="W15:W218" showDropDown="0" showInputMessage="0" showErrorMessage="1" allowBlank="1" errorTitle="輸入值不合法" error="請從下拉清單選擇有效的「績效類別」" type="list">
      <formula1>=績效類別清單</formula1>
    </dataValidation>
    <dataValidation sqref="D15:D218" showDropDown="0" showInputMessage="1" showErrorMessage="1" allowBlank="1" errorTitle="日期格式錯誤" error="「發生時間」必須是有效日期&#10;✓ 範例：2026/05/26 或 2026/05/26 14:00&#10;✗ 不可輸入文字、2020 以前、2035 以後" promptTitle="發生時間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  <dataValidation sqref="F15:F218" showDropDown="0" showInputMessage="1" showErrorMessage="1" allowBlank="1" errorTitle="日期格式錯誤" error="「破獲時間」必須是有效日期&#10;✓ 範例：2026/05/26 或 2026/05/26 14:00&#10;✗ 不可輸入文字、2020 以前、2035 以後" promptTitle="破獲時間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  <dataValidation sqref="P15:P218" showDropDown="0" showInputMessage="1" showErrorMessage="1" allowBlank="1" errorTitle="日期格式錯誤" error="「建立日期」必須是有效日期&#10;✓ 範例：2026/05/26 或 2026/05/26 14:00&#10;✗ 不可輸入文字、2020 以前、2035 以後" promptTitle="建立日期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9"/>
  <sheetViews>
    <sheetView tabSelected="0" topLeftCell="A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0" customWidth="1" min="4" max="4"/>
    <col width="18" customWidth="1" min="5" max="5"/>
    <col width="18" customWidth="1" min="6" max="6"/>
    <col width="16" customWidth="1" min="7" max="7"/>
    <col width="16" customWidth="1" min="8" max="8"/>
    <col width="26" customWidth="1" min="9" max="9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52" customHeight="1">
      <c r="A1" s="27" t="inlineStr">
        <is>
          <t xml:space="preserve">   🔍  刑案管制（兩區段並呈：尚未偵破 + 已破獲未移送）</t>
        </is>
      </c>
      <c r="B1" s="6" t="n"/>
      <c r="C1" s="6" t="n"/>
      <c r="D1" s="6" t="n"/>
      <c r="E1" s="6" t="n"/>
      <c r="F1" s="6" t="n"/>
      <c r="G1" s="6" t="n"/>
      <c r="H1" s="6" t="n"/>
      <c r="I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資料源：Tbl案件 (SSOT)"</f>
        <v/>
      </c>
    </row>
    <row r="3" ht="8" customHeight="1"/>
    <row r="4" ht="28" customHeight="1">
      <c r="A4" s="117">
        <f>"📌 派出所主管兩階段：尚未偵破（要破）+ 已破獲未移送（催偵查隊）｜ 已移送屬地檢端不在此清單細列"</f>
        <v/>
      </c>
      <c r="B4" s="7" t="n"/>
      <c r="C4" s="7" t="n"/>
      <c r="D4" s="7" t="n"/>
      <c r="E4" s="7" t="n"/>
      <c r="F4" s="7" t="n"/>
      <c r="G4" s="7" t="n"/>
      <c r="H4" s="7" t="n"/>
      <c r="I4" s="8" t="n"/>
    </row>
    <row r="5" ht="44" customHeight="1">
      <c r="A5" s="118" t="inlineStr">
        <is>
          <t>● 尚未偵破</t>
        </is>
      </c>
      <c r="B5" s="8" t="n"/>
      <c r="C5" s="119" t="inlineStr">
        <is>
          <t xml:space="preserve"> ➜ </t>
        </is>
      </c>
      <c r="D5" s="120" t="inlineStr">
        <is>
          <t>● 已破獲未移送</t>
        </is>
      </c>
      <c r="E5" s="8" t="n"/>
      <c r="F5" s="119" t="inlineStr">
        <is>
          <t xml:space="preserve"> ➜ </t>
        </is>
      </c>
      <c r="G5" s="121" t="inlineStr">
        <is>
          <t>● 已移送（地檢）</t>
        </is>
      </c>
      <c r="H5" s="7" t="n"/>
      <c r="I5" s="8" t="n"/>
    </row>
    <row r="6" ht="8" customHeight="1"/>
    <row r="7" ht="40" customHeight="1">
      <c r="A7" s="122">
        <f>"🔴 尚未偵破："&amp;IFERROR(COUNTIFS(Tbl案件[案件狀況],"尚未偵破",Tbl案件[發生管轄],"本轄",Tbl案件[歸屬年度],(YEAR(今日)-1911)),0)&amp;" 件"</f>
        <v/>
      </c>
      <c r="B7" s="7" t="n"/>
      <c r="C7" s="8" t="n"/>
      <c r="D7" s="123">
        <f>"🟡 已破獲未移送："&amp;IFERROR(COUNTIFS(Tbl案件[案件狀況],"已破獲未移送",Tbl案件[查獲管轄],"本轄",Tbl案件[歸屬年度],(YEAR(今日)-1911)),0)&amp;" 件"</f>
        <v/>
      </c>
      <c r="E7" s="7" t="n"/>
      <c r="F7" s="8" t="n"/>
      <c r="G7" s="124">
        <f>"✓ 已移送（地檢）："&amp;IFERROR(COUNTIFS(Tbl案件[案件狀況],"已移送",Tbl案件[查獲管轄],"本轄",Tbl案件[歸屬年度],(YEAR(今日)-1911)),0)&amp;" 件"</f>
        <v/>
      </c>
      <c r="H7" s="7" t="n"/>
      <c r="I7" s="8" t="n"/>
    </row>
    <row r="8" ht="12" customHeight="1"/>
    <row r="9" ht="34" customHeight="1">
      <c r="A9" s="125">
        <f>"   🔴  尚未偵破清單（"&amp;IFERROR(COUNTIFS(Tbl案件[案件狀況],"尚未偵破",Tbl案件[發生管轄],"本轄",Tbl案件[歸屬年度],(YEAR(今日)-1911)),0)&amp;" 件，最多顯示前 15 件）"</f>
        <v/>
      </c>
    </row>
    <row r="10" ht="34" customHeight="1">
      <c r="A10" s="10" t="inlineStr">
        <is>
          <t>編號</t>
        </is>
      </c>
      <c r="B10" s="10" t="inlineStr">
        <is>
          <t>案類</t>
        </is>
      </c>
      <c r="C10" s="10" t="inlineStr">
        <is>
          <t>發生時間</t>
        </is>
      </c>
      <c r="D10" s="10" t="inlineStr">
        <is>
          <t>發生地</t>
        </is>
      </c>
      <c r="E10" s="10" t="inlineStr">
        <is>
          <t>破獲時間</t>
        </is>
      </c>
      <c r="F10" s="10" t="inlineStr">
        <is>
          <t>案件狀況</t>
        </is>
      </c>
      <c r="G10" s="10" t="inlineStr">
        <is>
          <t>偵辦進度</t>
        </is>
      </c>
      <c r="H10" s="10" t="inlineStr">
        <is>
          <t>承辦人</t>
        </is>
      </c>
      <c r="I10" s="10" t="inlineStr">
        <is>
          <t>備註</t>
        </is>
      </c>
    </row>
    <row r="11" ht="30" customHeight="1">
      <c r="A11" s="15">
        <f>IFERROR(INDEX(Tbl案件[編號],MATCH(1,$S$100:$S$299,0)),"")</f>
        <v/>
      </c>
      <c r="B11" s="16">
        <f>IFERROR(INDEX(Tbl案件[案類],MATCH(1,$S$100:$S$299,0)),"")</f>
        <v/>
      </c>
      <c r="C11" s="126">
        <f>IFERROR(INDEX(Tbl案件[發生時間],MATCH(1,$S$100:$S$299,0)),"")</f>
        <v/>
      </c>
      <c r="D11" s="16">
        <f>IFERROR(INDEX(Tbl案件[發生地點],MATCH(1,$S$100:$S$299,0)),"")</f>
        <v/>
      </c>
      <c r="E11" s="126">
        <f>IFERROR(INDEX(Tbl案件[破獲時間],MATCH(1,$S$100:$S$299,0)),"")</f>
        <v/>
      </c>
      <c r="F11" s="15">
        <f>IFERROR(INDEX(Tbl案件[案件狀況],MATCH(1,$S$100:$S$299,0)),"")</f>
        <v/>
      </c>
      <c r="G11" s="15">
        <f>IFERROR(INDEX(Tbl案件[偵辦進度],MATCH(1,$S$100:$S$299,0)),"")</f>
        <v/>
      </c>
      <c r="H11" s="15">
        <f>IFERROR(INDEX(Tbl案件[承辦人],MATCH(1,$S$100:$S$299,0)),"")</f>
        <v/>
      </c>
      <c r="I11" s="16">
        <f>IFERROR(INDEX(Tbl案件[備註],MATCH(1,$S$100:$S$299,0)),"")</f>
        <v/>
      </c>
    </row>
    <row r="12" ht="30" customHeight="1">
      <c r="A12" s="15">
        <f>IFERROR(INDEX(Tbl案件[編號],MATCH(2,$S$100:$S$299,0)),"")</f>
        <v/>
      </c>
      <c r="B12" s="16">
        <f>IFERROR(INDEX(Tbl案件[案類],MATCH(2,$S$100:$S$299,0)),"")</f>
        <v/>
      </c>
      <c r="C12" s="126">
        <f>IFERROR(INDEX(Tbl案件[發生時間],MATCH(2,$S$100:$S$299,0)),"")</f>
        <v/>
      </c>
      <c r="D12" s="16">
        <f>IFERROR(INDEX(Tbl案件[發生地點],MATCH(2,$S$100:$S$299,0)),"")</f>
        <v/>
      </c>
      <c r="E12" s="126">
        <f>IFERROR(INDEX(Tbl案件[破獲時間],MATCH(2,$S$100:$S$299,0)),"")</f>
        <v/>
      </c>
      <c r="F12" s="15">
        <f>IFERROR(INDEX(Tbl案件[案件狀況],MATCH(2,$S$100:$S$299,0)),"")</f>
        <v/>
      </c>
      <c r="G12" s="15">
        <f>IFERROR(INDEX(Tbl案件[偵辦進度],MATCH(2,$S$100:$S$299,0)),"")</f>
        <v/>
      </c>
      <c r="H12" s="15">
        <f>IFERROR(INDEX(Tbl案件[承辦人],MATCH(2,$S$100:$S$299,0)),"")</f>
        <v/>
      </c>
      <c r="I12" s="16">
        <f>IFERROR(INDEX(Tbl案件[備註],MATCH(2,$S$100:$S$299,0)),"")</f>
        <v/>
      </c>
    </row>
    <row r="13" ht="30" customHeight="1">
      <c r="A13" s="15">
        <f>IFERROR(INDEX(Tbl案件[編號],MATCH(3,$S$100:$S$299,0)),"")</f>
        <v/>
      </c>
      <c r="B13" s="16">
        <f>IFERROR(INDEX(Tbl案件[案類],MATCH(3,$S$100:$S$299,0)),"")</f>
        <v/>
      </c>
      <c r="C13" s="126">
        <f>IFERROR(INDEX(Tbl案件[發生時間],MATCH(3,$S$100:$S$299,0)),"")</f>
        <v/>
      </c>
      <c r="D13" s="16">
        <f>IFERROR(INDEX(Tbl案件[發生地點],MATCH(3,$S$100:$S$299,0)),"")</f>
        <v/>
      </c>
      <c r="E13" s="126">
        <f>IFERROR(INDEX(Tbl案件[破獲時間],MATCH(3,$S$100:$S$299,0)),"")</f>
        <v/>
      </c>
      <c r="F13" s="15">
        <f>IFERROR(INDEX(Tbl案件[案件狀況],MATCH(3,$S$100:$S$299,0)),"")</f>
        <v/>
      </c>
      <c r="G13" s="15">
        <f>IFERROR(INDEX(Tbl案件[偵辦進度],MATCH(3,$S$100:$S$299,0)),"")</f>
        <v/>
      </c>
      <c r="H13" s="15">
        <f>IFERROR(INDEX(Tbl案件[承辦人],MATCH(3,$S$100:$S$299,0)),"")</f>
        <v/>
      </c>
      <c r="I13" s="16">
        <f>IFERROR(INDEX(Tbl案件[備註],MATCH(3,$S$100:$S$299,0)),"")</f>
        <v/>
      </c>
    </row>
    <row r="14" ht="30" customHeight="1">
      <c r="A14" s="15">
        <f>IFERROR(INDEX(Tbl案件[編號],MATCH(4,$S$100:$S$299,0)),"")</f>
        <v/>
      </c>
      <c r="B14" s="16">
        <f>IFERROR(INDEX(Tbl案件[案類],MATCH(4,$S$100:$S$299,0)),"")</f>
        <v/>
      </c>
      <c r="C14" s="126">
        <f>IFERROR(INDEX(Tbl案件[發生時間],MATCH(4,$S$100:$S$299,0)),"")</f>
        <v/>
      </c>
      <c r="D14" s="16">
        <f>IFERROR(INDEX(Tbl案件[發生地點],MATCH(4,$S$100:$S$299,0)),"")</f>
        <v/>
      </c>
      <c r="E14" s="126">
        <f>IFERROR(INDEX(Tbl案件[破獲時間],MATCH(4,$S$100:$S$299,0)),"")</f>
        <v/>
      </c>
      <c r="F14" s="15">
        <f>IFERROR(INDEX(Tbl案件[案件狀況],MATCH(4,$S$100:$S$299,0)),"")</f>
        <v/>
      </c>
      <c r="G14" s="15">
        <f>IFERROR(INDEX(Tbl案件[偵辦進度],MATCH(4,$S$100:$S$299,0)),"")</f>
        <v/>
      </c>
      <c r="H14" s="15">
        <f>IFERROR(INDEX(Tbl案件[承辦人],MATCH(4,$S$100:$S$299,0)),"")</f>
        <v/>
      </c>
      <c r="I14" s="16">
        <f>IFERROR(INDEX(Tbl案件[備註],MATCH(4,$S$100:$S$299,0)),"")</f>
        <v/>
      </c>
    </row>
    <row r="15" ht="30" customHeight="1">
      <c r="A15" s="15">
        <f>IFERROR(INDEX(Tbl案件[編號],MATCH(5,$S$100:$S$299,0)),"")</f>
        <v/>
      </c>
      <c r="B15" s="16">
        <f>IFERROR(INDEX(Tbl案件[案類],MATCH(5,$S$100:$S$299,0)),"")</f>
        <v/>
      </c>
      <c r="C15" s="126">
        <f>IFERROR(INDEX(Tbl案件[發生時間],MATCH(5,$S$100:$S$299,0)),"")</f>
        <v/>
      </c>
      <c r="D15" s="16">
        <f>IFERROR(INDEX(Tbl案件[發生地點],MATCH(5,$S$100:$S$299,0)),"")</f>
        <v/>
      </c>
      <c r="E15" s="126">
        <f>IFERROR(INDEX(Tbl案件[破獲時間],MATCH(5,$S$100:$S$299,0)),"")</f>
        <v/>
      </c>
      <c r="F15" s="15">
        <f>IFERROR(INDEX(Tbl案件[案件狀況],MATCH(5,$S$100:$S$299,0)),"")</f>
        <v/>
      </c>
      <c r="G15" s="15">
        <f>IFERROR(INDEX(Tbl案件[偵辦進度],MATCH(5,$S$100:$S$299,0)),"")</f>
        <v/>
      </c>
      <c r="H15" s="15">
        <f>IFERROR(INDEX(Tbl案件[承辦人],MATCH(5,$S$100:$S$299,0)),"")</f>
        <v/>
      </c>
      <c r="I15" s="16">
        <f>IFERROR(INDEX(Tbl案件[備註],MATCH(5,$S$100:$S$299,0)),"")</f>
        <v/>
      </c>
    </row>
    <row r="16" ht="30" customHeight="1">
      <c r="A16" s="15">
        <f>IFERROR(INDEX(Tbl案件[編號],MATCH(6,$S$100:$S$299,0)),"")</f>
        <v/>
      </c>
      <c r="B16" s="16">
        <f>IFERROR(INDEX(Tbl案件[案類],MATCH(6,$S$100:$S$299,0)),"")</f>
        <v/>
      </c>
      <c r="C16" s="126">
        <f>IFERROR(INDEX(Tbl案件[發生時間],MATCH(6,$S$100:$S$299,0)),"")</f>
        <v/>
      </c>
      <c r="D16" s="16">
        <f>IFERROR(INDEX(Tbl案件[發生地點],MATCH(6,$S$100:$S$299,0)),"")</f>
        <v/>
      </c>
      <c r="E16" s="126">
        <f>IFERROR(INDEX(Tbl案件[破獲時間],MATCH(6,$S$100:$S$299,0)),"")</f>
        <v/>
      </c>
      <c r="F16" s="15">
        <f>IFERROR(INDEX(Tbl案件[案件狀況],MATCH(6,$S$100:$S$299,0)),"")</f>
        <v/>
      </c>
      <c r="G16" s="15">
        <f>IFERROR(INDEX(Tbl案件[偵辦進度],MATCH(6,$S$100:$S$299,0)),"")</f>
        <v/>
      </c>
      <c r="H16" s="15">
        <f>IFERROR(INDEX(Tbl案件[承辦人],MATCH(6,$S$100:$S$299,0)),"")</f>
        <v/>
      </c>
      <c r="I16" s="16">
        <f>IFERROR(INDEX(Tbl案件[備註],MATCH(6,$S$100:$S$299,0)),"")</f>
        <v/>
      </c>
    </row>
    <row r="17" ht="30" customHeight="1">
      <c r="A17" s="15">
        <f>IFERROR(INDEX(Tbl案件[編號],MATCH(7,$S$100:$S$299,0)),"")</f>
        <v/>
      </c>
      <c r="B17" s="16">
        <f>IFERROR(INDEX(Tbl案件[案類],MATCH(7,$S$100:$S$299,0)),"")</f>
        <v/>
      </c>
      <c r="C17" s="126">
        <f>IFERROR(INDEX(Tbl案件[發生時間],MATCH(7,$S$100:$S$299,0)),"")</f>
        <v/>
      </c>
      <c r="D17" s="16">
        <f>IFERROR(INDEX(Tbl案件[發生地點],MATCH(7,$S$100:$S$299,0)),"")</f>
        <v/>
      </c>
      <c r="E17" s="126">
        <f>IFERROR(INDEX(Tbl案件[破獲時間],MATCH(7,$S$100:$S$299,0)),"")</f>
        <v/>
      </c>
      <c r="F17" s="15">
        <f>IFERROR(INDEX(Tbl案件[案件狀況],MATCH(7,$S$100:$S$299,0)),"")</f>
        <v/>
      </c>
      <c r="G17" s="15">
        <f>IFERROR(INDEX(Tbl案件[偵辦進度],MATCH(7,$S$100:$S$299,0)),"")</f>
        <v/>
      </c>
      <c r="H17" s="15">
        <f>IFERROR(INDEX(Tbl案件[承辦人],MATCH(7,$S$100:$S$299,0)),"")</f>
        <v/>
      </c>
      <c r="I17" s="16">
        <f>IFERROR(INDEX(Tbl案件[備註],MATCH(7,$S$100:$S$299,0)),"")</f>
        <v/>
      </c>
    </row>
    <row r="18" ht="30" customHeight="1">
      <c r="A18" s="15">
        <f>IFERROR(INDEX(Tbl案件[編號],MATCH(8,$S$100:$S$299,0)),"")</f>
        <v/>
      </c>
      <c r="B18" s="16">
        <f>IFERROR(INDEX(Tbl案件[案類],MATCH(8,$S$100:$S$299,0)),"")</f>
        <v/>
      </c>
      <c r="C18" s="126">
        <f>IFERROR(INDEX(Tbl案件[發生時間],MATCH(8,$S$100:$S$299,0)),"")</f>
        <v/>
      </c>
      <c r="D18" s="16">
        <f>IFERROR(INDEX(Tbl案件[發生地點],MATCH(8,$S$100:$S$299,0)),"")</f>
        <v/>
      </c>
      <c r="E18" s="126">
        <f>IFERROR(INDEX(Tbl案件[破獲時間],MATCH(8,$S$100:$S$299,0)),"")</f>
        <v/>
      </c>
      <c r="F18" s="15">
        <f>IFERROR(INDEX(Tbl案件[案件狀況],MATCH(8,$S$100:$S$299,0)),"")</f>
        <v/>
      </c>
      <c r="G18" s="15">
        <f>IFERROR(INDEX(Tbl案件[偵辦進度],MATCH(8,$S$100:$S$299,0)),"")</f>
        <v/>
      </c>
      <c r="H18" s="15">
        <f>IFERROR(INDEX(Tbl案件[承辦人],MATCH(8,$S$100:$S$299,0)),"")</f>
        <v/>
      </c>
      <c r="I18" s="16">
        <f>IFERROR(INDEX(Tbl案件[備註],MATCH(8,$S$100:$S$299,0)),"")</f>
        <v/>
      </c>
    </row>
    <row r="19" ht="30" customHeight="1">
      <c r="A19" s="15">
        <f>IFERROR(INDEX(Tbl案件[編號],MATCH(9,$S$100:$S$299,0)),"")</f>
        <v/>
      </c>
      <c r="B19" s="16">
        <f>IFERROR(INDEX(Tbl案件[案類],MATCH(9,$S$100:$S$299,0)),"")</f>
        <v/>
      </c>
      <c r="C19" s="126">
        <f>IFERROR(INDEX(Tbl案件[發生時間],MATCH(9,$S$100:$S$299,0)),"")</f>
        <v/>
      </c>
      <c r="D19" s="16">
        <f>IFERROR(INDEX(Tbl案件[發生地點],MATCH(9,$S$100:$S$299,0)),"")</f>
        <v/>
      </c>
      <c r="E19" s="126">
        <f>IFERROR(INDEX(Tbl案件[破獲時間],MATCH(9,$S$100:$S$299,0)),"")</f>
        <v/>
      </c>
      <c r="F19" s="15">
        <f>IFERROR(INDEX(Tbl案件[案件狀況],MATCH(9,$S$100:$S$299,0)),"")</f>
        <v/>
      </c>
      <c r="G19" s="15">
        <f>IFERROR(INDEX(Tbl案件[偵辦進度],MATCH(9,$S$100:$S$299,0)),"")</f>
        <v/>
      </c>
      <c r="H19" s="15">
        <f>IFERROR(INDEX(Tbl案件[承辦人],MATCH(9,$S$100:$S$299,0)),"")</f>
        <v/>
      </c>
      <c r="I19" s="16">
        <f>IFERROR(INDEX(Tbl案件[備註],MATCH(9,$S$100:$S$299,0)),"")</f>
        <v/>
      </c>
    </row>
    <row r="20" ht="30" customHeight="1">
      <c r="A20" s="15">
        <f>IFERROR(INDEX(Tbl案件[編號],MATCH(10,$S$100:$S$299,0)),"")</f>
        <v/>
      </c>
      <c r="B20" s="16">
        <f>IFERROR(INDEX(Tbl案件[案類],MATCH(10,$S$100:$S$299,0)),"")</f>
        <v/>
      </c>
      <c r="C20" s="126">
        <f>IFERROR(INDEX(Tbl案件[發生時間],MATCH(10,$S$100:$S$299,0)),"")</f>
        <v/>
      </c>
      <c r="D20" s="16">
        <f>IFERROR(INDEX(Tbl案件[發生地點],MATCH(10,$S$100:$S$299,0)),"")</f>
        <v/>
      </c>
      <c r="E20" s="126">
        <f>IFERROR(INDEX(Tbl案件[破獲時間],MATCH(10,$S$100:$S$299,0)),"")</f>
        <v/>
      </c>
      <c r="F20" s="15">
        <f>IFERROR(INDEX(Tbl案件[案件狀況],MATCH(10,$S$100:$S$299,0)),"")</f>
        <v/>
      </c>
      <c r="G20" s="15">
        <f>IFERROR(INDEX(Tbl案件[偵辦進度],MATCH(10,$S$100:$S$299,0)),"")</f>
        <v/>
      </c>
      <c r="H20" s="15">
        <f>IFERROR(INDEX(Tbl案件[承辦人],MATCH(10,$S$100:$S$299,0)),"")</f>
        <v/>
      </c>
      <c r="I20" s="16">
        <f>IFERROR(INDEX(Tbl案件[備註],MATCH(10,$S$100:$S$299,0)),"")</f>
        <v/>
      </c>
    </row>
    <row r="21" ht="30" customHeight="1">
      <c r="A21" s="15">
        <f>IFERROR(INDEX(Tbl案件[編號],MATCH(11,$S$100:$S$299,0)),"")</f>
        <v/>
      </c>
      <c r="B21" s="16">
        <f>IFERROR(INDEX(Tbl案件[案類],MATCH(11,$S$100:$S$299,0)),"")</f>
        <v/>
      </c>
      <c r="C21" s="126">
        <f>IFERROR(INDEX(Tbl案件[發生時間],MATCH(11,$S$100:$S$299,0)),"")</f>
        <v/>
      </c>
      <c r="D21" s="16">
        <f>IFERROR(INDEX(Tbl案件[發生地點],MATCH(11,$S$100:$S$299,0)),"")</f>
        <v/>
      </c>
      <c r="E21" s="126">
        <f>IFERROR(INDEX(Tbl案件[破獲時間],MATCH(11,$S$100:$S$299,0)),"")</f>
        <v/>
      </c>
      <c r="F21" s="15">
        <f>IFERROR(INDEX(Tbl案件[案件狀況],MATCH(11,$S$100:$S$299,0)),"")</f>
        <v/>
      </c>
      <c r="G21" s="15">
        <f>IFERROR(INDEX(Tbl案件[偵辦進度],MATCH(11,$S$100:$S$299,0)),"")</f>
        <v/>
      </c>
      <c r="H21" s="15">
        <f>IFERROR(INDEX(Tbl案件[承辦人],MATCH(11,$S$100:$S$299,0)),"")</f>
        <v/>
      </c>
      <c r="I21" s="16">
        <f>IFERROR(INDEX(Tbl案件[備註],MATCH(11,$S$100:$S$299,0)),"")</f>
        <v/>
      </c>
    </row>
    <row r="22" ht="30" customHeight="1">
      <c r="A22" s="15">
        <f>IFERROR(INDEX(Tbl案件[編號],MATCH(12,$S$100:$S$299,0)),"")</f>
        <v/>
      </c>
      <c r="B22" s="16">
        <f>IFERROR(INDEX(Tbl案件[案類],MATCH(12,$S$100:$S$299,0)),"")</f>
        <v/>
      </c>
      <c r="C22" s="126">
        <f>IFERROR(INDEX(Tbl案件[發生時間],MATCH(12,$S$100:$S$299,0)),"")</f>
        <v/>
      </c>
      <c r="D22" s="16">
        <f>IFERROR(INDEX(Tbl案件[發生地點],MATCH(12,$S$100:$S$299,0)),"")</f>
        <v/>
      </c>
      <c r="E22" s="126">
        <f>IFERROR(INDEX(Tbl案件[破獲時間],MATCH(12,$S$100:$S$299,0)),"")</f>
        <v/>
      </c>
      <c r="F22" s="15">
        <f>IFERROR(INDEX(Tbl案件[案件狀況],MATCH(12,$S$100:$S$299,0)),"")</f>
        <v/>
      </c>
      <c r="G22" s="15">
        <f>IFERROR(INDEX(Tbl案件[偵辦進度],MATCH(12,$S$100:$S$299,0)),"")</f>
        <v/>
      </c>
      <c r="H22" s="15">
        <f>IFERROR(INDEX(Tbl案件[承辦人],MATCH(12,$S$100:$S$299,0)),"")</f>
        <v/>
      </c>
      <c r="I22" s="16">
        <f>IFERROR(INDEX(Tbl案件[備註],MATCH(12,$S$100:$S$299,0)),"")</f>
        <v/>
      </c>
    </row>
    <row r="23" ht="30" customHeight="1">
      <c r="A23" s="15">
        <f>IFERROR(INDEX(Tbl案件[編號],MATCH(13,$S$100:$S$299,0)),"")</f>
        <v/>
      </c>
      <c r="B23" s="16">
        <f>IFERROR(INDEX(Tbl案件[案類],MATCH(13,$S$100:$S$299,0)),"")</f>
        <v/>
      </c>
      <c r="C23" s="126">
        <f>IFERROR(INDEX(Tbl案件[發生時間],MATCH(13,$S$100:$S$299,0)),"")</f>
        <v/>
      </c>
      <c r="D23" s="16">
        <f>IFERROR(INDEX(Tbl案件[發生地點],MATCH(13,$S$100:$S$299,0)),"")</f>
        <v/>
      </c>
      <c r="E23" s="126">
        <f>IFERROR(INDEX(Tbl案件[破獲時間],MATCH(13,$S$100:$S$299,0)),"")</f>
        <v/>
      </c>
      <c r="F23" s="15">
        <f>IFERROR(INDEX(Tbl案件[案件狀況],MATCH(13,$S$100:$S$299,0)),"")</f>
        <v/>
      </c>
      <c r="G23" s="15">
        <f>IFERROR(INDEX(Tbl案件[偵辦進度],MATCH(13,$S$100:$S$299,0)),"")</f>
        <v/>
      </c>
      <c r="H23" s="15">
        <f>IFERROR(INDEX(Tbl案件[承辦人],MATCH(13,$S$100:$S$299,0)),"")</f>
        <v/>
      </c>
      <c r="I23" s="16">
        <f>IFERROR(INDEX(Tbl案件[備註],MATCH(13,$S$100:$S$299,0)),"")</f>
        <v/>
      </c>
    </row>
    <row r="24" ht="30" customHeight="1">
      <c r="A24" s="15">
        <f>IFERROR(INDEX(Tbl案件[編號],MATCH(14,$S$100:$S$299,0)),"")</f>
        <v/>
      </c>
      <c r="B24" s="16">
        <f>IFERROR(INDEX(Tbl案件[案類],MATCH(14,$S$100:$S$299,0)),"")</f>
        <v/>
      </c>
      <c r="C24" s="126">
        <f>IFERROR(INDEX(Tbl案件[發生時間],MATCH(14,$S$100:$S$299,0)),"")</f>
        <v/>
      </c>
      <c r="D24" s="16">
        <f>IFERROR(INDEX(Tbl案件[發生地點],MATCH(14,$S$100:$S$299,0)),"")</f>
        <v/>
      </c>
      <c r="E24" s="126">
        <f>IFERROR(INDEX(Tbl案件[破獲時間],MATCH(14,$S$100:$S$299,0)),"")</f>
        <v/>
      </c>
      <c r="F24" s="15">
        <f>IFERROR(INDEX(Tbl案件[案件狀況],MATCH(14,$S$100:$S$299,0)),"")</f>
        <v/>
      </c>
      <c r="G24" s="15">
        <f>IFERROR(INDEX(Tbl案件[偵辦進度],MATCH(14,$S$100:$S$299,0)),"")</f>
        <v/>
      </c>
      <c r="H24" s="15">
        <f>IFERROR(INDEX(Tbl案件[承辦人],MATCH(14,$S$100:$S$299,0)),"")</f>
        <v/>
      </c>
      <c r="I24" s="16">
        <f>IFERROR(INDEX(Tbl案件[備註],MATCH(14,$S$100:$S$299,0)),"")</f>
        <v/>
      </c>
    </row>
    <row r="25" ht="30" customHeight="1">
      <c r="A25" s="15">
        <f>IFERROR(INDEX(Tbl案件[編號],MATCH(15,$S$100:$S$299,0)),"")</f>
        <v/>
      </c>
      <c r="B25" s="16">
        <f>IFERROR(INDEX(Tbl案件[案類],MATCH(15,$S$100:$S$299,0)),"")</f>
        <v/>
      </c>
      <c r="C25" s="126">
        <f>IFERROR(INDEX(Tbl案件[發生時間],MATCH(15,$S$100:$S$299,0)),"")</f>
        <v/>
      </c>
      <c r="D25" s="16">
        <f>IFERROR(INDEX(Tbl案件[發生地點],MATCH(15,$S$100:$S$299,0)),"")</f>
        <v/>
      </c>
      <c r="E25" s="126">
        <f>IFERROR(INDEX(Tbl案件[破獲時間],MATCH(15,$S$100:$S$299,0)),"")</f>
        <v/>
      </c>
      <c r="F25" s="15">
        <f>IFERROR(INDEX(Tbl案件[案件狀況],MATCH(15,$S$100:$S$299,0)),"")</f>
        <v/>
      </c>
      <c r="G25" s="15">
        <f>IFERROR(INDEX(Tbl案件[偵辦進度],MATCH(15,$S$100:$S$299,0)),"")</f>
        <v/>
      </c>
      <c r="H25" s="15">
        <f>IFERROR(INDEX(Tbl案件[承辦人],MATCH(15,$S$100:$S$299,0)),"")</f>
        <v/>
      </c>
      <c r="I25" s="16">
        <f>IFERROR(INDEX(Tbl案件[備註],MATCH(15,$S$100:$S$299,0)),"")</f>
        <v/>
      </c>
    </row>
    <row r="26" ht="14" customHeight="1"/>
    <row r="27" ht="34" customHeight="1">
      <c r="A27" s="127">
        <f>"   🟡  已破獲未移送清單（"&amp;IFERROR(COUNTIFS(Tbl案件[案件狀況],"已破獲未移送",Tbl案件[查獲管轄],"本轄",Tbl案件[歸屬年度],(YEAR(今日)-1911)),0)&amp;" 件，最多顯示前 15 件，需催偵查隊）"</f>
        <v/>
      </c>
    </row>
    <row r="28" ht="34" customHeight="1">
      <c r="A28" s="10" t="inlineStr">
        <is>
          <t>編號</t>
        </is>
      </c>
      <c r="B28" s="10" t="inlineStr">
        <is>
          <t>案類</t>
        </is>
      </c>
      <c r="C28" s="10" t="inlineStr">
        <is>
          <t>發生時間</t>
        </is>
      </c>
      <c r="D28" s="10" t="inlineStr">
        <is>
          <t>發生地</t>
        </is>
      </c>
      <c r="E28" s="10" t="inlineStr">
        <is>
          <t>破獲時間</t>
        </is>
      </c>
      <c r="F28" s="10" t="inlineStr">
        <is>
          <t>案件狀況</t>
        </is>
      </c>
      <c r="G28" s="10" t="inlineStr">
        <is>
          <t>偵辦進度</t>
        </is>
      </c>
      <c r="H28" s="10" t="inlineStr">
        <is>
          <t>承辦人</t>
        </is>
      </c>
      <c r="I28" s="10" t="inlineStr">
        <is>
          <t>備註</t>
        </is>
      </c>
    </row>
    <row r="29" ht="30" customHeight="1">
      <c r="A29" s="15">
        <f>IFERROR(INDEX(Tbl案件[編號],MATCH(1,$U$100:$U$299,0)),"")</f>
        <v/>
      </c>
      <c r="B29" s="16">
        <f>IFERROR(INDEX(Tbl案件[案類],MATCH(1,$U$100:$U$299,0)),"")</f>
        <v/>
      </c>
      <c r="C29" s="126">
        <f>IFERROR(INDEX(Tbl案件[發生時間],MATCH(1,$U$100:$U$299,0)),"")</f>
        <v/>
      </c>
      <c r="D29" s="16">
        <f>IFERROR(INDEX(Tbl案件[發生地點],MATCH(1,$U$100:$U$299,0)),"")</f>
        <v/>
      </c>
      <c r="E29" s="126">
        <f>IFERROR(INDEX(Tbl案件[破獲時間],MATCH(1,$U$100:$U$299,0)),"")</f>
        <v/>
      </c>
      <c r="F29" s="15">
        <f>IFERROR(INDEX(Tbl案件[案件狀況],MATCH(1,$U$100:$U$299,0)),"")</f>
        <v/>
      </c>
      <c r="G29" s="15">
        <f>IFERROR(INDEX(Tbl案件[偵辦進度],MATCH(1,$U$100:$U$299,0)),"")</f>
        <v/>
      </c>
      <c r="H29" s="15">
        <f>IFERROR(INDEX(Tbl案件[承辦人],MATCH(1,$U$100:$U$299,0)),"")</f>
        <v/>
      </c>
      <c r="I29" s="16">
        <f>IFERROR(INDEX(Tbl案件[備註],MATCH(1,$U$100:$U$299,0)),"")</f>
        <v/>
      </c>
    </row>
    <row r="30" ht="30" customHeight="1">
      <c r="A30" s="15">
        <f>IFERROR(INDEX(Tbl案件[編號],MATCH(2,$U$100:$U$299,0)),"")</f>
        <v/>
      </c>
      <c r="B30" s="16">
        <f>IFERROR(INDEX(Tbl案件[案類],MATCH(2,$U$100:$U$299,0)),"")</f>
        <v/>
      </c>
      <c r="C30" s="126">
        <f>IFERROR(INDEX(Tbl案件[發生時間],MATCH(2,$U$100:$U$299,0)),"")</f>
        <v/>
      </c>
      <c r="D30" s="16">
        <f>IFERROR(INDEX(Tbl案件[發生地點],MATCH(2,$U$100:$U$299,0)),"")</f>
        <v/>
      </c>
      <c r="E30" s="126">
        <f>IFERROR(INDEX(Tbl案件[破獲時間],MATCH(2,$U$100:$U$299,0)),"")</f>
        <v/>
      </c>
      <c r="F30" s="15">
        <f>IFERROR(INDEX(Tbl案件[案件狀況],MATCH(2,$U$100:$U$299,0)),"")</f>
        <v/>
      </c>
      <c r="G30" s="15">
        <f>IFERROR(INDEX(Tbl案件[偵辦進度],MATCH(2,$U$100:$U$299,0)),"")</f>
        <v/>
      </c>
      <c r="H30" s="15">
        <f>IFERROR(INDEX(Tbl案件[承辦人],MATCH(2,$U$100:$U$299,0)),"")</f>
        <v/>
      </c>
      <c r="I30" s="16">
        <f>IFERROR(INDEX(Tbl案件[備註],MATCH(2,$U$100:$U$299,0)),"")</f>
        <v/>
      </c>
    </row>
    <row r="31" ht="30" customHeight="1">
      <c r="A31" s="15">
        <f>IFERROR(INDEX(Tbl案件[編號],MATCH(3,$U$100:$U$299,0)),"")</f>
        <v/>
      </c>
      <c r="B31" s="16">
        <f>IFERROR(INDEX(Tbl案件[案類],MATCH(3,$U$100:$U$299,0)),"")</f>
        <v/>
      </c>
      <c r="C31" s="126">
        <f>IFERROR(INDEX(Tbl案件[發生時間],MATCH(3,$U$100:$U$299,0)),"")</f>
        <v/>
      </c>
      <c r="D31" s="16">
        <f>IFERROR(INDEX(Tbl案件[發生地點],MATCH(3,$U$100:$U$299,0)),"")</f>
        <v/>
      </c>
      <c r="E31" s="126">
        <f>IFERROR(INDEX(Tbl案件[破獲時間],MATCH(3,$U$100:$U$299,0)),"")</f>
        <v/>
      </c>
      <c r="F31" s="15">
        <f>IFERROR(INDEX(Tbl案件[案件狀況],MATCH(3,$U$100:$U$299,0)),"")</f>
        <v/>
      </c>
      <c r="G31" s="15">
        <f>IFERROR(INDEX(Tbl案件[偵辦進度],MATCH(3,$U$100:$U$299,0)),"")</f>
        <v/>
      </c>
      <c r="H31" s="15">
        <f>IFERROR(INDEX(Tbl案件[承辦人],MATCH(3,$U$100:$U$299,0)),"")</f>
        <v/>
      </c>
      <c r="I31" s="16">
        <f>IFERROR(INDEX(Tbl案件[備註],MATCH(3,$U$100:$U$299,0)),"")</f>
        <v/>
      </c>
    </row>
    <row r="32" ht="30" customHeight="1">
      <c r="A32" s="15">
        <f>IFERROR(INDEX(Tbl案件[編號],MATCH(4,$U$100:$U$299,0)),"")</f>
        <v/>
      </c>
      <c r="B32" s="16">
        <f>IFERROR(INDEX(Tbl案件[案類],MATCH(4,$U$100:$U$299,0)),"")</f>
        <v/>
      </c>
      <c r="C32" s="126">
        <f>IFERROR(INDEX(Tbl案件[發生時間],MATCH(4,$U$100:$U$299,0)),"")</f>
        <v/>
      </c>
      <c r="D32" s="16">
        <f>IFERROR(INDEX(Tbl案件[發生地點],MATCH(4,$U$100:$U$299,0)),"")</f>
        <v/>
      </c>
      <c r="E32" s="126">
        <f>IFERROR(INDEX(Tbl案件[破獲時間],MATCH(4,$U$100:$U$299,0)),"")</f>
        <v/>
      </c>
      <c r="F32" s="15">
        <f>IFERROR(INDEX(Tbl案件[案件狀況],MATCH(4,$U$100:$U$299,0)),"")</f>
        <v/>
      </c>
      <c r="G32" s="15">
        <f>IFERROR(INDEX(Tbl案件[偵辦進度],MATCH(4,$U$100:$U$299,0)),"")</f>
        <v/>
      </c>
      <c r="H32" s="15">
        <f>IFERROR(INDEX(Tbl案件[承辦人],MATCH(4,$U$100:$U$299,0)),"")</f>
        <v/>
      </c>
      <c r="I32" s="16">
        <f>IFERROR(INDEX(Tbl案件[備註],MATCH(4,$U$100:$U$299,0)),"")</f>
        <v/>
      </c>
    </row>
    <row r="33" ht="30" customHeight="1">
      <c r="A33" s="15">
        <f>IFERROR(INDEX(Tbl案件[編號],MATCH(5,$U$100:$U$299,0)),"")</f>
        <v/>
      </c>
      <c r="B33" s="16">
        <f>IFERROR(INDEX(Tbl案件[案類],MATCH(5,$U$100:$U$299,0)),"")</f>
        <v/>
      </c>
      <c r="C33" s="126">
        <f>IFERROR(INDEX(Tbl案件[發生時間],MATCH(5,$U$100:$U$299,0)),"")</f>
        <v/>
      </c>
      <c r="D33" s="16">
        <f>IFERROR(INDEX(Tbl案件[發生地點],MATCH(5,$U$100:$U$299,0)),"")</f>
        <v/>
      </c>
      <c r="E33" s="126">
        <f>IFERROR(INDEX(Tbl案件[破獲時間],MATCH(5,$U$100:$U$299,0)),"")</f>
        <v/>
      </c>
      <c r="F33" s="15">
        <f>IFERROR(INDEX(Tbl案件[案件狀況],MATCH(5,$U$100:$U$299,0)),"")</f>
        <v/>
      </c>
      <c r="G33" s="15">
        <f>IFERROR(INDEX(Tbl案件[偵辦進度],MATCH(5,$U$100:$U$299,0)),"")</f>
        <v/>
      </c>
      <c r="H33" s="15">
        <f>IFERROR(INDEX(Tbl案件[承辦人],MATCH(5,$U$100:$U$299,0)),"")</f>
        <v/>
      </c>
      <c r="I33" s="16">
        <f>IFERROR(INDEX(Tbl案件[備註],MATCH(5,$U$100:$U$299,0)),"")</f>
        <v/>
      </c>
    </row>
    <row r="34" ht="30" customHeight="1">
      <c r="A34" s="15">
        <f>IFERROR(INDEX(Tbl案件[編號],MATCH(6,$U$100:$U$299,0)),"")</f>
        <v/>
      </c>
      <c r="B34" s="16">
        <f>IFERROR(INDEX(Tbl案件[案類],MATCH(6,$U$100:$U$299,0)),"")</f>
        <v/>
      </c>
      <c r="C34" s="126">
        <f>IFERROR(INDEX(Tbl案件[發生時間],MATCH(6,$U$100:$U$299,0)),"")</f>
        <v/>
      </c>
      <c r="D34" s="16">
        <f>IFERROR(INDEX(Tbl案件[發生地點],MATCH(6,$U$100:$U$299,0)),"")</f>
        <v/>
      </c>
      <c r="E34" s="126">
        <f>IFERROR(INDEX(Tbl案件[破獲時間],MATCH(6,$U$100:$U$299,0)),"")</f>
        <v/>
      </c>
      <c r="F34" s="15">
        <f>IFERROR(INDEX(Tbl案件[案件狀況],MATCH(6,$U$100:$U$299,0)),"")</f>
        <v/>
      </c>
      <c r="G34" s="15">
        <f>IFERROR(INDEX(Tbl案件[偵辦進度],MATCH(6,$U$100:$U$299,0)),"")</f>
        <v/>
      </c>
      <c r="H34" s="15">
        <f>IFERROR(INDEX(Tbl案件[承辦人],MATCH(6,$U$100:$U$299,0)),"")</f>
        <v/>
      </c>
      <c r="I34" s="16">
        <f>IFERROR(INDEX(Tbl案件[備註],MATCH(6,$U$100:$U$299,0)),"")</f>
        <v/>
      </c>
    </row>
    <row r="35" ht="30" customHeight="1">
      <c r="A35" s="15">
        <f>IFERROR(INDEX(Tbl案件[編號],MATCH(7,$U$100:$U$299,0)),"")</f>
        <v/>
      </c>
      <c r="B35" s="16">
        <f>IFERROR(INDEX(Tbl案件[案類],MATCH(7,$U$100:$U$299,0)),"")</f>
        <v/>
      </c>
      <c r="C35" s="126">
        <f>IFERROR(INDEX(Tbl案件[發生時間],MATCH(7,$U$100:$U$299,0)),"")</f>
        <v/>
      </c>
      <c r="D35" s="16">
        <f>IFERROR(INDEX(Tbl案件[發生地點],MATCH(7,$U$100:$U$299,0)),"")</f>
        <v/>
      </c>
      <c r="E35" s="126">
        <f>IFERROR(INDEX(Tbl案件[破獲時間],MATCH(7,$U$100:$U$299,0)),"")</f>
        <v/>
      </c>
      <c r="F35" s="15">
        <f>IFERROR(INDEX(Tbl案件[案件狀況],MATCH(7,$U$100:$U$299,0)),"")</f>
        <v/>
      </c>
      <c r="G35" s="15">
        <f>IFERROR(INDEX(Tbl案件[偵辦進度],MATCH(7,$U$100:$U$299,0)),"")</f>
        <v/>
      </c>
      <c r="H35" s="15">
        <f>IFERROR(INDEX(Tbl案件[承辦人],MATCH(7,$U$100:$U$299,0)),"")</f>
        <v/>
      </c>
      <c r="I35" s="16">
        <f>IFERROR(INDEX(Tbl案件[備註],MATCH(7,$U$100:$U$299,0)),"")</f>
        <v/>
      </c>
    </row>
    <row r="36" ht="30" customHeight="1">
      <c r="A36" s="15">
        <f>IFERROR(INDEX(Tbl案件[編號],MATCH(8,$U$100:$U$299,0)),"")</f>
        <v/>
      </c>
      <c r="B36" s="16">
        <f>IFERROR(INDEX(Tbl案件[案類],MATCH(8,$U$100:$U$299,0)),"")</f>
        <v/>
      </c>
      <c r="C36" s="126">
        <f>IFERROR(INDEX(Tbl案件[發生時間],MATCH(8,$U$100:$U$299,0)),"")</f>
        <v/>
      </c>
      <c r="D36" s="16">
        <f>IFERROR(INDEX(Tbl案件[發生地點],MATCH(8,$U$100:$U$299,0)),"")</f>
        <v/>
      </c>
      <c r="E36" s="126">
        <f>IFERROR(INDEX(Tbl案件[破獲時間],MATCH(8,$U$100:$U$299,0)),"")</f>
        <v/>
      </c>
      <c r="F36" s="15">
        <f>IFERROR(INDEX(Tbl案件[案件狀況],MATCH(8,$U$100:$U$299,0)),"")</f>
        <v/>
      </c>
      <c r="G36" s="15">
        <f>IFERROR(INDEX(Tbl案件[偵辦進度],MATCH(8,$U$100:$U$299,0)),"")</f>
        <v/>
      </c>
      <c r="H36" s="15">
        <f>IFERROR(INDEX(Tbl案件[承辦人],MATCH(8,$U$100:$U$299,0)),"")</f>
        <v/>
      </c>
      <c r="I36" s="16">
        <f>IFERROR(INDEX(Tbl案件[備註],MATCH(8,$U$100:$U$299,0)),"")</f>
        <v/>
      </c>
    </row>
    <row r="37" ht="30" customHeight="1">
      <c r="A37" s="15">
        <f>IFERROR(INDEX(Tbl案件[編號],MATCH(9,$U$100:$U$299,0)),"")</f>
        <v/>
      </c>
      <c r="B37" s="16">
        <f>IFERROR(INDEX(Tbl案件[案類],MATCH(9,$U$100:$U$299,0)),"")</f>
        <v/>
      </c>
      <c r="C37" s="126">
        <f>IFERROR(INDEX(Tbl案件[發生時間],MATCH(9,$U$100:$U$299,0)),"")</f>
        <v/>
      </c>
      <c r="D37" s="16">
        <f>IFERROR(INDEX(Tbl案件[發生地點],MATCH(9,$U$100:$U$299,0)),"")</f>
        <v/>
      </c>
      <c r="E37" s="126">
        <f>IFERROR(INDEX(Tbl案件[破獲時間],MATCH(9,$U$100:$U$299,0)),"")</f>
        <v/>
      </c>
      <c r="F37" s="15">
        <f>IFERROR(INDEX(Tbl案件[案件狀況],MATCH(9,$U$100:$U$299,0)),"")</f>
        <v/>
      </c>
      <c r="G37" s="15">
        <f>IFERROR(INDEX(Tbl案件[偵辦進度],MATCH(9,$U$100:$U$299,0)),"")</f>
        <v/>
      </c>
      <c r="H37" s="15">
        <f>IFERROR(INDEX(Tbl案件[承辦人],MATCH(9,$U$100:$U$299,0)),"")</f>
        <v/>
      </c>
      <c r="I37" s="16">
        <f>IFERROR(INDEX(Tbl案件[備註],MATCH(9,$U$100:$U$299,0)),"")</f>
        <v/>
      </c>
    </row>
    <row r="38" ht="30" customHeight="1">
      <c r="A38" s="15">
        <f>IFERROR(INDEX(Tbl案件[編號],MATCH(10,$U$100:$U$299,0)),"")</f>
        <v/>
      </c>
      <c r="B38" s="16">
        <f>IFERROR(INDEX(Tbl案件[案類],MATCH(10,$U$100:$U$299,0)),"")</f>
        <v/>
      </c>
      <c r="C38" s="126">
        <f>IFERROR(INDEX(Tbl案件[發生時間],MATCH(10,$U$100:$U$299,0)),"")</f>
        <v/>
      </c>
      <c r="D38" s="16">
        <f>IFERROR(INDEX(Tbl案件[發生地點],MATCH(10,$U$100:$U$299,0)),"")</f>
        <v/>
      </c>
      <c r="E38" s="126">
        <f>IFERROR(INDEX(Tbl案件[破獲時間],MATCH(10,$U$100:$U$299,0)),"")</f>
        <v/>
      </c>
      <c r="F38" s="15">
        <f>IFERROR(INDEX(Tbl案件[案件狀況],MATCH(10,$U$100:$U$299,0)),"")</f>
        <v/>
      </c>
      <c r="G38" s="15">
        <f>IFERROR(INDEX(Tbl案件[偵辦進度],MATCH(10,$U$100:$U$299,0)),"")</f>
        <v/>
      </c>
      <c r="H38" s="15">
        <f>IFERROR(INDEX(Tbl案件[承辦人],MATCH(10,$U$100:$U$299,0)),"")</f>
        <v/>
      </c>
      <c r="I38" s="16">
        <f>IFERROR(INDEX(Tbl案件[備註],MATCH(10,$U$100:$U$299,0)),"")</f>
        <v/>
      </c>
    </row>
    <row r="39" ht="30" customHeight="1">
      <c r="A39" s="15">
        <f>IFERROR(INDEX(Tbl案件[編號],MATCH(11,$U$100:$U$299,0)),"")</f>
        <v/>
      </c>
      <c r="B39" s="16">
        <f>IFERROR(INDEX(Tbl案件[案類],MATCH(11,$U$100:$U$299,0)),"")</f>
        <v/>
      </c>
      <c r="C39" s="126">
        <f>IFERROR(INDEX(Tbl案件[發生時間],MATCH(11,$U$100:$U$299,0)),"")</f>
        <v/>
      </c>
      <c r="D39" s="16">
        <f>IFERROR(INDEX(Tbl案件[發生地點],MATCH(11,$U$100:$U$299,0)),"")</f>
        <v/>
      </c>
      <c r="E39" s="126">
        <f>IFERROR(INDEX(Tbl案件[破獲時間],MATCH(11,$U$100:$U$299,0)),"")</f>
        <v/>
      </c>
      <c r="F39" s="15">
        <f>IFERROR(INDEX(Tbl案件[案件狀況],MATCH(11,$U$100:$U$299,0)),"")</f>
        <v/>
      </c>
      <c r="G39" s="15">
        <f>IFERROR(INDEX(Tbl案件[偵辦進度],MATCH(11,$U$100:$U$299,0)),"")</f>
        <v/>
      </c>
      <c r="H39" s="15">
        <f>IFERROR(INDEX(Tbl案件[承辦人],MATCH(11,$U$100:$U$299,0)),"")</f>
        <v/>
      </c>
      <c r="I39" s="16">
        <f>IFERROR(INDEX(Tbl案件[備註],MATCH(11,$U$100:$U$299,0)),"")</f>
        <v/>
      </c>
    </row>
    <row r="40" ht="30" customHeight="1">
      <c r="A40" s="15">
        <f>IFERROR(INDEX(Tbl案件[編號],MATCH(12,$U$100:$U$299,0)),"")</f>
        <v/>
      </c>
      <c r="B40" s="16">
        <f>IFERROR(INDEX(Tbl案件[案類],MATCH(12,$U$100:$U$299,0)),"")</f>
        <v/>
      </c>
      <c r="C40" s="126">
        <f>IFERROR(INDEX(Tbl案件[發生時間],MATCH(12,$U$100:$U$299,0)),"")</f>
        <v/>
      </c>
      <c r="D40" s="16">
        <f>IFERROR(INDEX(Tbl案件[發生地點],MATCH(12,$U$100:$U$299,0)),"")</f>
        <v/>
      </c>
      <c r="E40" s="126">
        <f>IFERROR(INDEX(Tbl案件[破獲時間],MATCH(12,$U$100:$U$299,0)),"")</f>
        <v/>
      </c>
      <c r="F40" s="15">
        <f>IFERROR(INDEX(Tbl案件[案件狀況],MATCH(12,$U$100:$U$299,0)),"")</f>
        <v/>
      </c>
      <c r="G40" s="15">
        <f>IFERROR(INDEX(Tbl案件[偵辦進度],MATCH(12,$U$100:$U$299,0)),"")</f>
        <v/>
      </c>
      <c r="H40" s="15">
        <f>IFERROR(INDEX(Tbl案件[承辦人],MATCH(12,$U$100:$U$299,0)),"")</f>
        <v/>
      </c>
      <c r="I40" s="16">
        <f>IFERROR(INDEX(Tbl案件[備註],MATCH(12,$U$100:$U$299,0)),"")</f>
        <v/>
      </c>
    </row>
    <row r="41" ht="30" customHeight="1">
      <c r="A41" s="15">
        <f>IFERROR(INDEX(Tbl案件[編號],MATCH(13,$U$100:$U$299,0)),"")</f>
        <v/>
      </c>
      <c r="B41" s="16">
        <f>IFERROR(INDEX(Tbl案件[案類],MATCH(13,$U$100:$U$299,0)),"")</f>
        <v/>
      </c>
      <c r="C41" s="126">
        <f>IFERROR(INDEX(Tbl案件[發生時間],MATCH(13,$U$100:$U$299,0)),"")</f>
        <v/>
      </c>
      <c r="D41" s="16">
        <f>IFERROR(INDEX(Tbl案件[發生地點],MATCH(13,$U$100:$U$299,0)),"")</f>
        <v/>
      </c>
      <c r="E41" s="126">
        <f>IFERROR(INDEX(Tbl案件[破獲時間],MATCH(13,$U$100:$U$299,0)),"")</f>
        <v/>
      </c>
      <c r="F41" s="15">
        <f>IFERROR(INDEX(Tbl案件[案件狀況],MATCH(13,$U$100:$U$299,0)),"")</f>
        <v/>
      </c>
      <c r="G41" s="15">
        <f>IFERROR(INDEX(Tbl案件[偵辦進度],MATCH(13,$U$100:$U$299,0)),"")</f>
        <v/>
      </c>
      <c r="H41" s="15">
        <f>IFERROR(INDEX(Tbl案件[承辦人],MATCH(13,$U$100:$U$299,0)),"")</f>
        <v/>
      </c>
      <c r="I41" s="16">
        <f>IFERROR(INDEX(Tbl案件[備註],MATCH(13,$U$100:$U$299,0)),"")</f>
        <v/>
      </c>
    </row>
    <row r="42" ht="30" customHeight="1">
      <c r="A42" s="15">
        <f>IFERROR(INDEX(Tbl案件[編號],MATCH(14,$U$100:$U$299,0)),"")</f>
        <v/>
      </c>
      <c r="B42" s="16">
        <f>IFERROR(INDEX(Tbl案件[案類],MATCH(14,$U$100:$U$299,0)),"")</f>
        <v/>
      </c>
      <c r="C42" s="126">
        <f>IFERROR(INDEX(Tbl案件[發生時間],MATCH(14,$U$100:$U$299,0)),"")</f>
        <v/>
      </c>
      <c r="D42" s="16">
        <f>IFERROR(INDEX(Tbl案件[發生地點],MATCH(14,$U$100:$U$299,0)),"")</f>
        <v/>
      </c>
      <c r="E42" s="126">
        <f>IFERROR(INDEX(Tbl案件[破獲時間],MATCH(14,$U$100:$U$299,0)),"")</f>
        <v/>
      </c>
      <c r="F42" s="15">
        <f>IFERROR(INDEX(Tbl案件[案件狀況],MATCH(14,$U$100:$U$299,0)),"")</f>
        <v/>
      </c>
      <c r="G42" s="15">
        <f>IFERROR(INDEX(Tbl案件[偵辦進度],MATCH(14,$U$100:$U$299,0)),"")</f>
        <v/>
      </c>
      <c r="H42" s="15">
        <f>IFERROR(INDEX(Tbl案件[承辦人],MATCH(14,$U$100:$U$299,0)),"")</f>
        <v/>
      </c>
      <c r="I42" s="16">
        <f>IFERROR(INDEX(Tbl案件[備註],MATCH(14,$U$100:$U$299,0)),"")</f>
        <v/>
      </c>
    </row>
    <row r="43" ht="30" customHeight="1">
      <c r="A43" s="15">
        <f>IFERROR(INDEX(Tbl案件[編號],MATCH(15,$U$100:$U$299,0)),"")</f>
        <v/>
      </c>
      <c r="B43" s="16">
        <f>IFERROR(INDEX(Tbl案件[案類],MATCH(15,$U$100:$U$299,0)),"")</f>
        <v/>
      </c>
      <c r="C43" s="126">
        <f>IFERROR(INDEX(Tbl案件[發生時間],MATCH(15,$U$100:$U$299,0)),"")</f>
        <v/>
      </c>
      <c r="D43" s="16">
        <f>IFERROR(INDEX(Tbl案件[發生地點],MATCH(15,$U$100:$U$299,0)),"")</f>
        <v/>
      </c>
      <c r="E43" s="126">
        <f>IFERROR(INDEX(Tbl案件[破獲時間],MATCH(15,$U$100:$U$299,0)),"")</f>
        <v/>
      </c>
      <c r="F43" s="15">
        <f>IFERROR(INDEX(Tbl案件[案件狀況],MATCH(15,$U$100:$U$299,0)),"")</f>
        <v/>
      </c>
      <c r="G43" s="15">
        <f>IFERROR(INDEX(Tbl案件[偵辦進度],MATCH(15,$U$100:$U$299,0)),"")</f>
        <v/>
      </c>
      <c r="H43" s="15">
        <f>IFERROR(INDEX(Tbl案件[承辦人],MATCH(15,$U$100:$U$299,0)),"")</f>
        <v/>
      </c>
      <c r="I43" s="16">
        <f>IFERROR(INDEX(Tbl案件[備註],MATCH(15,$U$100:$U$299,0)),"")</f>
        <v/>
      </c>
    </row>
    <row r="44" ht="12" customHeight="1"/>
    <row r="45" ht="22" customHeight="1">
      <c r="A45" s="82">
        <f>"© KKEVIN-LIN-2026-V2.0  ｜  v2.1 兩區段並呈（取代 v2 視圖下拉）  ｜  製表："&amp;TEXT(今日,"e/mm/dd")</f>
        <v/>
      </c>
    </row>
    <row r="99" hidden="1">
      <c r="Q99" s="83" t="inlineStr">
        <is>
          <t>[helper]</t>
        </is>
      </c>
      <c r="R99" s="83" t="inlineStr">
        <is>
          <t>尚未偵破?</t>
        </is>
      </c>
      <c r="S99" s="83" t="inlineStr">
        <is>
          <t>尚未順序</t>
        </is>
      </c>
      <c r="T99" s="83" t="inlineStr">
        <is>
          <t>已破未送?</t>
        </is>
      </c>
      <c r="U99" s="83" t="inlineStr">
        <is>
          <t>已破順序</t>
        </is>
      </c>
    </row>
    <row r="100" hidden="1">
      <c r="Q100" s="86" t="n">
        <v>1</v>
      </c>
      <c r="R100" s="86">
        <f>IFERROR(IF(AND(IFERROR(INDEX(Tbl案件[案件狀況],1),"")="尚未偵破",IFERROR(INDEX(Tbl案件[發生管轄],1),"")="本轄",IFERROR(INDEX(Tbl案件[歸屬年度],1),0)=(YEAR(今日)-1911)),1,0),0)</f>
        <v/>
      </c>
      <c r="S100" s="86">
        <f>IF(R100=1,SUM($R$100:R100),0)</f>
        <v/>
      </c>
      <c r="T100" s="86">
        <f>IFERROR(IF(AND(IFERROR(INDEX(Tbl案件[案件狀況],1),"")="已破獲未移送",IFERROR(INDEX(Tbl案件[查獲管轄],1),"")="本轄",IFERROR(INDEX(Tbl案件[歸屬年度],1),0)=(YEAR(今日)-1911)),1,0),0)</f>
        <v/>
      </c>
      <c r="U100" s="86">
        <f>IF(T100=1,SUM($T$100:T100),0)</f>
        <v/>
      </c>
    </row>
    <row r="101" hidden="1">
      <c r="Q101" s="86" t="n">
        <v>2</v>
      </c>
      <c r="R101" s="86">
        <f>IFERROR(IF(AND(IFERROR(INDEX(Tbl案件[案件狀況],2),"")="尚未偵破",IFERROR(INDEX(Tbl案件[發生管轄],2),"")="本轄",IFERROR(INDEX(Tbl案件[歸屬年度],2),0)=(YEAR(今日)-1911)),1,0),0)</f>
        <v/>
      </c>
      <c r="S101" s="86">
        <f>IF(R101=1,SUM($R$100:R101),0)</f>
        <v/>
      </c>
      <c r="T101" s="86">
        <f>IFERROR(IF(AND(IFERROR(INDEX(Tbl案件[案件狀況],2),"")="已破獲未移送",IFERROR(INDEX(Tbl案件[查獲管轄],2),"")="本轄",IFERROR(INDEX(Tbl案件[歸屬年度],2),0)=(YEAR(今日)-1911)),1,0),0)</f>
        <v/>
      </c>
      <c r="U101" s="86">
        <f>IF(T101=1,SUM($T$100:T101),0)</f>
        <v/>
      </c>
    </row>
    <row r="102" hidden="1">
      <c r="Q102" s="86" t="n">
        <v>3</v>
      </c>
      <c r="R102" s="86">
        <f>IFERROR(IF(AND(IFERROR(INDEX(Tbl案件[案件狀況],3),"")="尚未偵破",IFERROR(INDEX(Tbl案件[發生管轄],3),"")="本轄",IFERROR(INDEX(Tbl案件[歸屬年度],3),0)=(YEAR(今日)-1911)),1,0),0)</f>
        <v/>
      </c>
      <c r="S102" s="86">
        <f>IF(R102=1,SUM($R$100:R102),0)</f>
        <v/>
      </c>
      <c r="T102" s="86">
        <f>IFERROR(IF(AND(IFERROR(INDEX(Tbl案件[案件狀況],3),"")="已破獲未移送",IFERROR(INDEX(Tbl案件[查獲管轄],3),"")="本轄",IFERROR(INDEX(Tbl案件[歸屬年度],3),0)=(YEAR(今日)-1911)),1,0),0)</f>
        <v/>
      </c>
      <c r="U102" s="86">
        <f>IF(T102=1,SUM($T$100:T102),0)</f>
        <v/>
      </c>
    </row>
    <row r="103" hidden="1">
      <c r="Q103" s="86" t="n">
        <v>4</v>
      </c>
      <c r="R103" s="86">
        <f>IFERROR(IF(AND(IFERROR(INDEX(Tbl案件[案件狀況],4),"")="尚未偵破",IFERROR(INDEX(Tbl案件[發生管轄],4),"")="本轄",IFERROR(INDEX(Tbl案件[歸屬年度],4),0)=(YEAR(今日)-1911)),1,0),0)</f>
        <v/>
      </c>
      <c r="S103" s="86">
        <f>IF(R103=1,SUM($R$100:R103),0)</f>
        <v/>
      </c>
      <c r="T103" s="86">
        <f>IFERROR(IF(AND(IFERROR(INDEX(Tbl案件[案件狀況],4),"")="已破獲未移送",IFERROR(INDEX(Tbl案件[查獲管轄],4),"")="本轄",IFERROR(INDEX(Tbl案件[歸屬年度],4),0)=(YEAR(今日)-1911)),1,0),0)</f>
        <v/>
      </c>
      <c r="U103" s="86">
        <f>IF(T103=1,SUM($T$100:T103),0)</f>
        <v/>
      </c>
    </row>
    <row r="104" hidden="1">
      <c r="Q104" s="86" t="n">
        <v>5</v>
      </c>
      <c r="R104" s="86">
        <f>IFERROR(IF(AND(IFERROR(INDEX(Tbl案件[案件狀況],5),"")="尚未偵破",IFERROR(INDEX(Tbl案件[發生管轄],5),"")="本轄",IFERROR(INDEX(Tbl案件[歸屬年度],5),0)=(YEAR(今日)-1911)),1,0),0)</f>
        <v/>
      </c>
      <c r="S104" s="86">
        <f>IF(R104=1,SUM($R$100:R104),0)</f>
        <v/>
      </c>
      <c r="T104" s="86">
        <f>IFERROR(IF(AND(IFERROR(INDEX(Tbl案件[案件狀況],5),"")="已破獲未移送",IFERROR(INDEX(Tbl案件[查獲管轄],5),"")="本轄",IFERROR(INDEX(Tbl案件[歸屬年度],5),0)=(YEAR(今日)-1911)),1,0),0)</f>
        <v/>
      </c>
      <c r="U104" s="86">
        <f>IF(T104=1,SUM($T$100:T104),0)</f>
        <v/>
      </c>
    </row>
    <row r="105" hidden="1">
      <c r="Q105" s="86" t="n">
        <v>6</v>
      </c>
      <c r="R105" s="86">
        <f>IFERROR(IF(AND(IFERROR(INDEX(Tbl案件[案件狀況],6),"")="尚未偵破",IFERROR(INDEX(Tbl案件[發生管轄],6),"")="本轄",IFERROR(INDEX(Tbl案件[歸屬年度],6),0)=(YEAR(今日)-1911)),1,0),0)</f>
        <v/>
      </c>
      <c r="S105" s="86">
        <f>IF(R105=1,SUM($R$100:R105),0)</f>
        <v/>
      </c>
      <c r="T105" s="86">
        <f>IFERROR(IF(AND(IFERROR(INDEX(Tbl案件[案件狀況],6),"")="已破獲未移送",IFERROR(INDEX(Tbl案件[查獲管轄],6),"")="本轄",IFERROR(INDEX(Tbl案件[歸屬年度],6),0)=(YEAR(今日)-1911)),1,0),0)</f>
        <v/>
      </c>
      <c r="U105" s="86">
        <f>IF(T105=1,SUM($T$100:T105),0)</f>
        <v/>
      </c>
    </row>
    <row r="106" hidden="1">
      <c r="Q106" s="86" t="n">
        <v>7</v>
      </c>
      <c r="R106" s="86">
        <f>IFERROR(IF(AND(IFERROR(INDEX(Tbl案件[案件狀況],7),"")="尚未偵破",IFERROR(INDEX(Tbl案件[發生管轄],7),"")="本轄",IFERROR(INDEX(Tbl案件[歸屬年度],7),0)=(YEAR(今日)-1911)),1,0),0)</f>
        <v/>
      </c>
      <c r="S106" s="86">
        <f>IF(R106=1,SUM($R$100:R106),0)</f>
        <v/>
      </c>
      <c r="T106" s="86">
        <f>IFERROR(IF(AND(IFERROR(INDEX(Tbl案件[案件狀況],7),"")="已破獲未移送",IFERROR(INDEX(Tbl案件[查獲管轄],7),"")="本轄",IFERROR(INDEX(Tbl案件[歸屬年度],7),0)=(YEAR(今日)-1911)),1,0),0)</f>
        <v/>
      </c>
      <c r="U106" s="86">
        <f>IF(T106=1,SUM($T$100:T106),0)</f>
        <v/>
      </c>
    </row>
    <row r="107" hidden="1">
      <c r="Q107" s="86" t="n">
        <v>8</v>
      </c>
      <c r="R107" s="86">
        <f>IFERROR(IF(AND(IFERROR(INDEX(Tbl案件[案件狀況],8),"")="尚未偵破",IFERROR(INDEX(Tbl案件[發生管轄],8),"")="本轄",IFERROR(INDEX(Tbl案件[歸屬年度],8),0)=(YEAR(今日)-1911)),1,0),0)</f>
        <v/>
      </c>
      <c r="S107" s="86">
        <f>IF(R107=1,SUM($R$100:R107),0)</f>
        <v/>
      </c>
      <c r="T107" s="86">
        <f>IFERROR(IF(AND(IFERROR(INDEX(Tbl案件[案件狀況],8),"")="已破獲未移送",IFERROR(INDEX(Tbl案件[查獲管轄],8),"")="本轄",IFERROR(INDEX(Tbl案件[歸屬年度],8),0)=(YEAR(今日)-1911)),1,0),0)</f>
        <v/>
      </c>
      <c r="U107" s="86">
        <f>IF(T107=1,SUM($T$100:T107),0)</f>
        <v/>
      </c>
    </row>
    <row r="108" hidden="1">
      <c r="Q108" s="86" t="n">
        <v>9</v>
      </c>
      <c r="R108" s="86">
        <f>IFERROR(IF(AND(IFERROR(INDEX(Tbl案件[案件狀況],9),"")="尚未偵破",IFERROR(INDEX(Tbl案件[發生管轄],9),"")="本轄",IFERROR(INDEX(Tbl案件[歸屬年度],9),0)=(YEAR(今日)-1911)),1,0),0)</f>
        <v/>
      </c>
      <c r="S108" s="86">
        <f>IF(R108=1,SUM($R$100:R108),0)</f>
        <v/>
      </c>
      <c r="T108" s="86">
        <f>IFERROR(IF(AND(IFERROR(INDEX(Tbl案件[案件狀況],9),"")="已破獲未移送",IFERROR(INDEX(Tbl案件[查獲管轄],9),"")="本轄",IFERROR(INDEX(Tbl案件[歸屬年度],9),0)=(YEAR(今日)-1911)),1,0),0)</f>
        <v/>
      </c>
      <c r="U108" s="86">
        <f>IF(T108=1,SUM($T$100:T108),0)</f>
        <v/>
      </c>
    </row>
    <row r="109" hidden="1">
      <c r="Q109" s="86" t="n">
        <v>10</v>
      </c>
      <c r="R109" s="86">
        <f>IFERROR(IF(AND(IFERROR(INDEX(Tbl案件[案件狀況],10),"")="尚未偵破",IFERROR(INDEX(Tbl案件[發生管轄],10),"")="本轄",IFERROR(INDEX(Tbl案件[歸屬年度],10),0)=(YEAR(今日)-1911)),1,0),0)</f>
        <v/>
      </c>
      <c r="S109" s="86">
        <f>IF(R109=1,SUM($R$100:R109),0)</f>
        <v/>
      </c>
      <c r="T109" s="86">
        <f>IFERROR(IF(AND(IFERROR(INDEX(Tbl案件[案件狀況],10),"")="已破獲未移送",IFERROR(INDEX(Tbl案件[查獲管轄],10),"")="本轄",IFERROR(INDEX(Tbl案件[歸屬年度],10),0)=(YEAR(今日)-1911)),1,0),0)</f>
        <v/>
      </c>
      <c r="U109" s="86">
        <f>IF(T109=1,SUM($T$100:T109),0)</f>
        <v/>
      </c>
    </row>
    <row r="110" hidden="1">
      <c r="Q110" s="86" t="n">
        <v>11</v>
      </c>
      <c r="R110" s="86">
        <f>IFERROR(IF(AND(IFERROR(INDEX(Tbl案件[案件狀況],11),"")="尚未偵破",IFERROR(INDEX(Tbl案件[發生管轄],11),"")="本轄",IFERROR(INDEX(Tbl案件[歸屬年度],11),0)=(YEAR(今日)-1911)),1,0),0)</f>
        <v/>
      </c>
      <c r="S110" s="86">
        <f>IF(R110=1,SUM($R$100:R110),0)</f>
        <v/>
      </c>
      <c r="T110" s="86">
        <f>IFERROR(IF(AND(IFERROR(INDEX(Tbl案件[案件狀況],11),"")="已破獲未移送",IFERROR(INDEX(Tbl案件[查獲管轄],11),"")="本轄",IFERROR(INDEX(Tbl案件[歸屬年度],11),0)=(YEAR(今日)-1911)),1,0),0)</f>
        <v/>
      </c>
      <c r="U110" s="86">
        <f>IF(T110=1,SUM($T$100:T110),0)</f>
        <v/>
      </c>
    </row>
    <row r="111" hidden="1">
      <c r="Q111" s="86" t="n">
        <v>12</v>
      </c>
      <c r="R111" s="86">
        <f>IFERROR(IF(AND(IFERROR(INDEX(Tbl案件[案件狀況],12),"")="尚未偵破",IFERROR(INDEX(Tbl案件[發生管轄],12),"")="本轄",IFERROR(INDEX(Tbl案件[歸屬年度],12),0)=(YEAR(今日)-1911)),1,0),0)</f>
        <v/>
      </c>
      <c r="S111" s="86">
        <f>IF(R111=1,SUM($R$100:R111),0)</f>
        <v/>
      </c>
      <c r="T111" s="86">
        <f>IFERROR(IF(AND(IFERROR(INDEX(Tbl案件[案件狀況],12),"")="已破獲未移送",IFERROR(INDEX(Tbl案件[查獲管轄],12),"")="本轄",IFERROR(INDEX(Tbl案件[歸屬年度],12),0)=(YEAR(今日)-1911)),1,0),0)</f>
        <v/>
      </c>
      <c r="U111" s="86">
        <f>IF(T111=1,SUM($T$100:T111),0)</f>
        <v/>
      </c>
    </row>
    <row r="112" hidden="1">
      <c r="Q112" s="86" t="n">
        <v>13</v>
      </c>
      <c r="R112" s="86">
        <f>IFERROR(IF(AND(IFERROR(INDEX(Tbl案件[案件狀況],13),"")="尚未偵破",IFERROR(INDEX(Tbl案件[發生管轄],13),"")="本轄",IFERROR(INDEX(Tbl案件[歸屬年度],13),0)=(YEAR(今日)-1911)),1,0),0)</f>
        <v/>
      </c>
      <c r="S112" s="86">
        <f>IF(R112=1,SUM($R$100:R112),0)</f>
        <v/>
      </c>
      <c r="T112" s="86">
        <f>IFERROR(IF(AND(IFERROR(INDEX(Tbl案件[案件狀況],13),"")="已破獲未移送",IFERROR(INDEX(Tbl案件[查獲管轄],13),"")="本轄",IFERROR(INDEX(Tbl案件[歸屬年度],13),0)=(YEAR(今日)-1911)),1,0),0)</f>
        <v/>
      </c>
      <c r="U112" s="86">
        <f>IF(T112=1,SUM($T$100:T112),0)</f>
        <v/>
      </c>
    </row>
    <row r="113" hidden="1">
      <c r="Q113" s="86" t="n">
        <v>14</v>
      </c>
      <c r="R113" s="86">
        <f>IFERROR(IF(AND(IFERROR(INDEX(Tbl案件[案件狀況],14),"")="尚未偵破",IFERROR(INDEX(Tbl案件[發生管轄],14),"")="本轄",IFERROR(INDEX(Tbl案件[歸屬年度],14),0)=(YEAR(今日)-1911)),1,0),0)</f>
        <v/>
      </c>
      <c r="S113" s="86">
        <f>IF(R113=1,SUM($R$100:R113),0)</f>
        <v/>
      </c>
      <c r="T113" s="86">
        <f>IFERROR(IF(AND(IFERROR(INDEX(Tbl案件[案件狀況],14),"")="已破獲未移送",IFERROR(INDEX(Tbl案件[查獲管轄],14),"")="本轄",IFERROR(INDEX(Tbl案件[歸屬年度],14),0)=(YEAR(今日)-1911)),1,0),0)</f>
        <v/>
      </c>
      <c r="U113" s="86">
        <f>IF(T113=1,SUM($T$100:T113),0)</f>
        <v/>
      </c>
    </row>
    <row r="114" hidden="1">
      <c r="Q114" s="86" t="n">
        <v>15</v>
      </c>
      <c r="R114" s="86">
        <f>IFERROR(IF(AND(IFERROR(INDEX(Tbl案件[案件狀況],15),"")="尚未偵破",IFERROR(INDEX(Tbl案件[發生管轄],15),"")="本轄",IFERROR(INDEX(Tbl案件[歸屬年度],15),0)=(YEAR(今日)-1911)),1,0),0)</f>
        <v/>
      </c>
      <c r="S114" s="86">
        <f>IF(R114=1,SUM($R$100:R114),0)</f>
        <v/>
      </c>
      <c r="T114" s="86">
        <f>IFERROR(IF(AND(IFERROR(INDEX(Tbl案件[案件狀況],15),"")="已破獲未移送",IFERROR(INDEX(Tbl案件[查獲管轄],15),"")="本轄",IFERROR(INDEX(Tbl案件[歸屬年度],15),0)=(YEAR(今日)-1911)),1,0),0)</f>
        <v/>
      </c>
      <c r="U114" s="86">
        <f>IF(T114=1,SUM($T$100:T114),0)</f>
        <v/>
      </c>
    </row>
    <row r="115" hidden="1">
      <c r="Q115" s="86" t="n">
        <v>16</v>
      </c>
      <c r="R115" s="86">
        <f>IFERROR(IF(AND(IFERROR(INDEX(Tbl案件[案件狀況],16),"")="尚未偵破",IFERROR(INDEX(Tbl案件[發生管轄],16),"")="本轄",IFERROR(INDEX(Tbl案件[歸屬年度],16),0)=(YEAR(今日)-1911)),1,0),0)</f>
        <v/>
      </c>
      <c r="S115" s="86">
        <f>IF(R115=1,SUM($R$100:R115),0)</f>
        <v/>
      </c>
      <c r="T115" s="86">
        <f>IFERROR(IF(AND(IFERROR(INDEX(Tbl案件[案件狀況],16),"")="已破獲未移送",IFERROR(INDEX(Tbl案件[查獲管轄],16),"")="本轄",IFERROR(INDEX(Tbl案件[歸屬年度],16),0)=(YEAR(今日)-1911)),1,0),0)</f>
        <v/>
      </c>
      <c r="U115" s="86">
        <f>IF(T115=1,SUM($T$100:T115),0)</f>
        <v/>
      </c>
    </row>
    <row r="116" hidden="1">
      <c r="Q116" s="86" t="n">
        <v>17</v>
      </c>
      <c r="R116" s="86">
        <f>IFERROR(IF(AND(IFERROR(INDEX(Tbl案件[案件狀況],17),"")="尚未偵破",IFERROR(INDEX(Tbl案件[發生管轄],17),"")="本轄",IFERROR(INDEX(Tbl案件[歸屬年度],17),0)=(YEAR(今日)-1911)),1,0),0)</f>
        <v/>
      </c>
      <c r="S116" s="86">
        <f>IF(R116=1,SUM($R$100:R116),0)</f>
        <v/>
      </c>
      <c r="T116" s="86">
        <f>IFERROR(IF(AND(IFERROR(INDEX(Tbl案件[案件狀況],17),"")="已破獲未移送",IFERROR(INDEX(Tbl案件[查獲管轄],17),"")="本轄",IFERROR(INDEX(Tbl案件[歸屬年度],17),0)=(YEAR(今日)-1911)),1,0),0)</f>
        <v/>
      </c>
      <c r="U116" s="86">
        <f>IF(T116=1,SUM($T$100:T116),0)</f>
        <v/>
      </c>
    </row>
    <row r="117" hidden="1">
      <c r="Q117" s="86" t="n">
        <v>18</v>
      </c>
      <c r="R117" s="86">
        <f>IFERROR(IF(AND(IFERROR(INDEX(Tbl案件[案件狀況],18),"")="尚未偵破",IFERROR(INDEX(Tbl案件[發生管轄],18),"")="本轄",IFERROR(INDEX(Tbl案件[歸屬年度],18),0)=(YEAR(今日)-1911)),1,0),0)</f>
        <v/>
      </c>
      <c r="S117" s="86">
        <f>IF(R117=1,SUM($R$100:R117),0)</f>
        <v/>
      </c>
      <c r="T117" s="86">
        <f>IFERROR(IF(AND(IFERROR(INDEX(Tbl案件[案件狀況],18),"")="已破獲未移送",IFERROR(INDEX(Tbl案件[查獲管轄],18),"")="本轄",IFERROR(INDEX(Tbl案件[歸屬年度],18),0)=(YEAR(今日)-1911)),1,0),0)</f>
        <v/>
      </c>
      <c r="U117" s="86">
        <f>IF(T117=1,SUM($T$100:T117),0)</f>
        <v/>
      </c>
    </row>
    <row r="118" hidden="1">
      <c r="Q118" s="86" t="n">
        <v>19</v>
      </c>
      <c r="R118" s="86">
        <f>IFERROR(IF(AND(IFERROR(INDEX(Tbl案件[案件狀況],19),"")="尚未偵破",IFERROR(INDEX(Tbl案件[發生管轄],19),"")="本轄",IFERROR(INDEX(Tbl案件[歸屬年度],19),0)=(YEAR(今日)-1911)),1,0),0)</f>
        <v/>
      </c>
      <c r="S118" s="86">
        <f>IF(R118=1,SUM($R$100:R118),0)</f>
        <v/>
      </c>
      <c r="T118" s="86">
        <f>IFERROR(IF(AND(IFERROR(INDEX(Tbl案件[案件狀況],19),"")="已破獲未移送",IFERROR(INDEX(Tbl案件[查獲管轄],19),"")="本轄",IFERROR(INDEX(Tbl案件[歸屬年度],19),0)=(YEAR(今日)-1911)),1,0),0)</f>
        <v/>
      </c>
      <c r="U118" s="86">
        <f>IF(T118=1,SUM($T$100:T118),0)</f>
        <v/>
      </c>
    </row>
    <row r="119" hidden="1">
      <c r="Q119" s="86" t="n">
        <v>20</v>
      </c>
      <c r="R119" s="86">
        <f>IFERROR(IF(AND(IFERROR(INDEX(Tbl案件[案件狀況],20),"")="尚未偵破",IFERROR(INDEX(Tbl案件[發生管轄],20),"")="本轄",IFERROR(INDEX(Tbl案件[歸屬年度],20),0)=(YEAR(今日)-1911)),1,0),0)</f>
        <v/>
      </c>
      <c r="S119" s="86">
        <f>IF(R119=1,SUM($R$100:R119),0)</f>
        <v/>
      </c>
      <c r="T119" s="86">
        <f>IFERROR(IF(AND(IFERROR(INDEX(Tbl案件[案件狀況],20),"")="已破獲未移送",IFERROR(INDEX(Tbl案件[查獲管轄],20),"")="本轄",IFERROR(INDEX(Tbl案件[歸屬年度],20),0)=(YEAR(今日)-1911)),1,0),0)</f>
        <v/>
      </c>
      <c r="U119" s="86">
        <f>IF(T119=1,SUM($T$100:T119),0)</f>
        <v/>
      </c>
    </row>
    <row r="120" hidden="1">
      <c r="Q120" s="86" t="n">
        <v>21</v>
      </c>
      <c r="R120" s="86">
        <f>IFERROR(IF(AND(IFERROR(INDEX(Tbl案件[案件狀況],21),"")="尚未偵破",IFERROR(INDEX(Tbl案件[發生管轄],21),"")="本轄",IFERROR(INDEX(Tbl案件[歸屬年度],21),0)=(YEAR(今日)-1911)),1,0),0)</f>
        <v/>
      </c>
      <c r="S120" s="86">
        <f>IF(R120=1,SUM($R$100:R120),0)</f>
        <v/>
      </c>
      <c r="T120" s="86">
        <f>IFERROR(IF(AND(IFERROR(INDEX(Tbl案件[案件狀況],21),"")="已破獲未移送",IFERROR(INDEX(Tbl案件[查獲管轄],21),"")="本轄",IFERROR(INDEX(Tbl案件[歸屬年度],21),0)=(YEAR(今日)-1911)),1,0),0)</f>
        <v/>
      </c>
      <c r="U120" s="86">
        <f>IF(T120=1,SUM($T$100:T120),0)</f>
        <v/>
      </c>
    </row>
    <row r="121" hidden="1">
      <c r="Q121" s="86" t="n">
        <v>22</v>
      </c>
      <c r="R121" s="86">
        <f>IFERROR(IF(AND(IFERROR(INDEX(Tbl案件[案件狀況],22),"")="尚未偵破",IFERROR(INDEX(Tbl案件[發生管轄],22),"")="本轄",IFERROR(INDEX(Tbl案件[歸屬年度],22),0)=(YEAR(今日)-1911)),1,0),0)</f>
        <v/>
      </c>
      <c r="S121" s="86">
        <f>IF(R121=1,SUM($R$100:R121),0)</f>
        <v/>
      </c>
      <c r="T121" s="86">
        <f>IFERROR(IF(AND(IFERROR(INDEX(Tbl案件[案件狀況],22),"")="已破獲未移送",IFERROR(INDEX(Tbl案件[查獲管轄],22),"")="本轄",IFERROR(INDEX(Tbl案件[歸屬年度],22),0)=(YEAR(今日)-1911)),1,0),0)</f>
        <v/>
      </c>
      <c r="U121" s="86">
        <f>IF(T121=1,SUM($T$100:T121),0)</f>
        <v/>
      </c>
    </row>
    <row r="122" hidden="1">
      <c r="Q122" s="86" t="n">
        <v>23</v>
      </c>
      <c r="R122" s="86">
        <f>IFERROR(IF(AND(IFERROR(INDEX(Tbl案件[案件狀況],23),"")="尚未偵破",IFERROR(INDEX(Tbl案件[發生管轄],23),"")="本轄",IFERROR(INDEX(Tbl案件[歸屬年度],23),0)=(YEAR(今日)-1911)),1,0),0)</f>
        <v/>
      </c>
      <c r="S122" s="86">
        <f>IF(R122=1,SUM($R$100:R122),0)</f>
        <v/>
      </c>
      <c r="T122" s="86">
        <f>IFERROR(IF(AND(IFERROR(INDEX(Tbl案件[案件狀況],23),"")="已破獲未移送",IFERROR(INDEX(Tbl案件[查獲管轄],23),"")="本轄",IFERROR(INDEX(Tbl案件[歸屬年度],23),0)=(YEAR(今日)-1911)),1,0),0)</f>
        <v/>
      </c>
      <c r="U122" s="86">
        <f>IF(T122=1,SUM($T$100:T122),0)</f>
        <v/>
      </c>
    </row>
    <row r="123" hidden="1">
      <c r="Q123" s="86" t="n">
        <v>24</v>
      </c>
      <c r="R123" s="86">
        <f>IFERROR(IF(AND(IFERROR(INDEX(Tbl案件[案件狀況],24),"")="尚未偵破",IFERROR(INDEX(Tbl案件[發生管轄],24),"")="本轄",IFERROR(INDEX(Tbl案件[歸屬年度],24),0)=(YEAR(今日)-1911)),1,0),0)</f>
        <v/>
      </c>
      <c r="S123" s="86">
        <f>IF(R123=1,SUM($R$100:R123),0)</f>
        <v/>
      </c>
      <c r="T123" s="86">
        <f>IFERROR(IF(AND(IFERROR(INDEX(Tbl案件[案件狀況],24),"")="已破獲未移送",IFERROR(INDEX(Tbl案件[查獲管轄],24),"")="本轄",IFERROR(INDEX(Tbl案件[歸屬年度],24),0)=(YEAR(今日)-1911)),1,0),0)</f>
        <v/>
      </c>
      <c r="U123" s="86">
        <f>IF(T123=1,SUM($T$100:T123),0)</f>
        <v/>
      </c>
    </row>
    <row r="124" hidden="1">
      <c r="Q124" s="86" t="n">
        <v>25</v>
      </c>
      <c r="R124" s="86">
        <f>IFERROR(IF(AND(IFERROR(INDEX(Tbl案件[案件狀況],25),"")="尚未偵破",IFERROR(INDEX(Tbl案件[發生管轄],25),"")="本轄",IFERROR(INDEX(Tbl案件[歸屬年度],25),0)=(YEAR(今日)-1911)),1,0),0)</f>
        <v/>
      </c>
      <c r="S124" s="86">
        <f>IF(R124=1,SUM($R$100:R124),0)</f>
        <v/>
      </c>
      <c r="T124" s="86">
        <f>IFERROR(IF(AND(IFERROR(INDEX(Tbl案件[案件狀況],25),"")="已破獲未移送",IFERROR(INDEX(Tbl案件[查獲管轄],25),"")="本轄",IFERROR(INDEX(Tbl案件[歸屬年度],25),0)=(YEAR(今日)-1911)),1,0),0)</f>
        <v/>
      </c>
      <c r="U124" s="86">
        <f>IF(T124=1,SUM($T$100:T124),0)</f>
        <v/>
      </c>
    </row>
    <row r="125" hidden="1">
      <c r="Q125" s="86" t="n">
        <v>26</v>
      </c>
      <c r="R125" s="86">
        <f>IFERROR(IF(AND(IFERROR(INDEX(Tbl案件[案件狀況],26),"")="尚未偵破",IFERROR(INDEX(Tbl案件[發生管轄],26),"")="本轄",IFERROR(INDEX(Tbl案件[歸屬年度],26),0)=(YEAR(今日)-1911)),1,0),0)</f>
        <v/>
      </c>
      <c r="S125" s="86">
        <f>IF(R125=1,SUM($R$100:R125),0)</f>
        <v/>
      </c>
      <c r="T125" s="86">
        <f>IFERROR(IF(AND(IFERROR(INDEX(Tbl案件[案件狀況],26),"")="已破獲未移送",IFERROR(INDEX(Tbl案件[查獲管轄],26),"")="本轄",IFERROR(INDEX(Tbl案件[歸屬年度],26),0)=(YEAR(今日)-1911)),1,0),0)</f>
        <v/>
      </c>
      <c r="U125" s="86">
        <f>IF(T125=1,SUM($T$100:T125),0)</f>
        <v/>
      </c>
    </row>
    <row r="126" hidden="1">
      <c r="Q126" s="86" t="n">
        <v>27</v>
      </c>
      <c r="R126" s="86">
        <f>IFERROR(IF(AND(IFERROR(INDEX(Tbl案件[案件狀況],27),"")="尚未偵破",IFERROR(INDEX(Tbl案件[發生管轄],27),"")="本轄",IFERROR(INDEX(Tbl案件[歸屬年度],27),0)=(YEAR(今日)-1911)),1,0),0)</f>
        <v/>
      </c>
      <c r="S126" s="86">
        <f>IF(R126=1,SUM($R$100:R126),0)</f>
        <v/>
      </c>
      <c r="T126" s="86">
        <f>IFERROR(IF(AND(IFERROR(INDEX(Tbl案件[案件狀況],27),"")="已破獲未移送",IFERROR(INDEX(Tbl案件[查獲管轄],27),"")="本轄",IFERROR(INDEX(Tbl案件[歸屬年度],27),0)=(YEAR(今日)-1911)),1,0),0)</f>
        <v/>
      </c>
      <c r="U126" s="86">
        <f>IF(T126=1,SUM($T$100:T126),0)</f>
        <v/>
      </c>
    </row>
    <row r="127" hidden="1">
      <c r="Q127" s="86" t="n">
        <v>28</v>
      </c>
      <c r="R127" s="86">
        <f>IFERROR(IF(AND(IFERROR(INDEX(Tbl案件[案件狀況],28),"")="尚未偵破",IFERROR(INDEX(Tbl案件[發生管轄],28),"")="本轄",IFERROR(INDEX(Tbl案件[歸屬年度],28),0)=(YEAR(今日)-1911)),1,0),0)</f>
        <v/>
      </c>
      <c r="S127" s="86">
        <f>IF(R127=1,SUM($R$100:R127),0)</f>
        <v/>
      </c>
      <c r="T127" s="86">
        <f>IFERROR(IF(AND(IFERROR(INDEX(Tbl案件[案件狀況],28),"")="已破獲未移送",IFERROR(INDEX(Tbl案件[查獲管轄],28),"")="本轄",IFERROR(INDEX(Tbl案件[歸屬年度],28),0)=(YEAR(今日)-1911)),1,0),0)</f>
        <v/>
      </c>
      <c r="U127" s="86">
        <f>IF(T127=1,SUM($T$100:T127),0)</f>
        <v/>
      </c>
    </row>
    <row r="128" hidden="1">
      <c r="Q128" s="86" t="n">
        <v>29</v>
      </c>
      <c r="R128" s="86">
        <f>IFERROR(IF(AND(IFERROR(INDEX(Tbl案件[案件狀況],29),"")="尚未偵破",IFERROR(INDEX(Tbl案件[發生管轄],29),"")="本轄",IFERROR(INDEX(Tbl案件[歸屬年度],29),0)=(YEAR(今日)-1911)),1,0),0)</f>
        <v/>
      </c>
      <c r="S128" s="86">
        <f>IF(R128=1,SUM($R$100:R128),0)</f>
        <v/>
      </c>
      <c r="T128" s="86">
        <f>IFERROR(IF(AND(IFERROR(INDEX(Tbl案件[案件狀況],29),"")="已破獲未移送",IFERROR(INDEX(Tbl案件[查獲管轄],29),"")="本轄",IFERROR(INDEX(Tbl案件[歸屬年度],29),0)=(YEAR(今日)-1911)),1,0),0)</f>
        <v/>
      </c>
      <c r="U128" s="86">
        <f>IF(T128=1,SUM($T$100:T128),0)</f>
        <v/>
      </c>
    </row>
    <row r="129" hidden="1">
      <c r="Q129" s="86" t="n">
        <v>30</v>
      </c>
      <c r="R129" s="86">
        <f>IFERROR(IF(AND(IFERROR(INDEX(Tbl案件[案件狀況],30),"")="尚未偵破",IFERROR(INDEX(Tbl案件[發生管轄],30),"")="本轄",IFERROR(INDEX(Tbl案件[歸屬年度],30),0)=(YEAR(今日)-1911)),1,0),0)</f>
        <v/>
      </c>
      <c r="S129" s="86">
        <f>IF(R129=1,SUM($R$100:R129),0)</f>
        <v/>
      </c>
      <c r="T129" s="86">
        <f>IFERROR(IF(AND(IFERROR(INDEX(Tbl案件[案件狀況],30),"")="已破獲未移送",IFERROR(INDEX(Tbl案件[查獲管轄],30),"")="本轄",IFERROR(INDEX(Tbl案件[歸屬年度],30),0)=(YEAR(今日)-1911)),1,0),0)</f>
        <v/>
      </c>
      <c r="U129" s="86">
        <f>IF(T129=1,SUM($T$100:T129),0)</f>
        <v/>
      </c>
    </row>
    <row r="130" hidden="1">
      <c r="Q130" s="86" t="n">
        <v>31</v>
      </c>
      <c r="R130" s="86">
        <f>IFERROR(IF(AND(IFERROR(INDEX(Tbl案件[案件狀況],31),"")="尚未偵破",IFERROR(INDEX(Tbl案件[發生管轄],31),"")="本轄",IFERROR(INDEX(Tbl案件[歸屬年度],31),0)=(YEAR(今日)-1911)),1,0),0)</f>
        <v/>
      </c>
      <c r="S130" s="86">
        <f>IF(R130=1,SUM($R$100:R130),0)</f>
        <v/>
      </c>
      <c r="T130" s="86">
        <f>IFERROR(IF(AND(IFERROR(INDEX(Tbl案件[案件狀況],31),"")="已破獲未移送",IFERROR(INDEX(Tbl案件[查獲管轄],31),"")="本轄",IFERROR(INDEX(Tbl案件[歸屬年度],31),0)=(YEAR(今日)-1911)),1,0),0)</f>
        <v/>
      </c>
      <c r="U130" s="86">
        <f>IF(T130=1,SUM($T$100:T130),0)</f>
        <v/>
      </c>
    </row>
    <row r="131" hidden="1">
      <c r="Q131" s="86" t="n">
        <v>32</v>
      </c>
      <c r="R131" s="86">
        <f>IFERROR(IF(AND(IFERROR(INDEX(Tbl案件[案件狀況],32),"")="尚未偵破",IFERROR(INDEX(Tbl案件[發生管轄],32),"")="本轄",IFERROR(INDEX(Tbl案件[歸屬年度],32),0)=(YEAR(今日)-1911)),1,0),0)</f>
        <v/>
      </c>
      <c r="S131" s="86">
        <f>IF(R131=1,SUM($R$100:R131),0)</f>
        <v/>
      </c>
      <c r="T131" s="86">
        <f>IFERROR(IF(AND(IFERROR(INDEX(Tbl案件[案件狀況],32),"")="已破獲未移送",IFERROR(INDEX(Tbl案件[查獲管轄],32),"")="本轄",IFERROR(INDEX(Tbl案件[歸屬年度],32),0)=(YEAR(今日)-1911)),1,0),0)</f>
        <v/>
      </c>
      <c r="U131" s="86">
        <f>IF(T131=1,SUM($T$100:T131),0)</f>
        <v/>
      </c>
    </row>
    <row r="132" hidden="1">
      <c r="Q132" s="86" t="n">
        <v>33</v>
      </c>
      <c r="R132" s="86">
        <f>IFERROR(IF(AND(IFERROR(INDEX(Tbl案件[案件狀況],33),"")="尚未偵破",IFERROR(INDEX(Tbl案件[發生管轄],33),"")="本轄",IFERROR(INDEX(Tbl案件[歸屬年度],33),0)=(YEAR(今日)-1911)),1,0),0)</f>
        <v/>
      </c>
      <c r="S132" s="86">
        <f>IF(R132=1,SUM($R$100:R132),0)</f>
        <v/>
      </c>
      <c r="T132" s="86">
        <f>IFERROR(IF(AND(IFERROR(INDEX(Tbl案件[案件狀況],33),"")="已破獲未移送",IFERROR(INDEX(Tbl案件[查獲管轄],33),"")="本轄",IFERROR(INDEX(Tbl案件[歸屬年度],33),0)=(YEAR(今日)-1911)),1,0),0)</f>
        <v/>
      </c>
      <c r="U132" s="86">
        <f>IF(T132=1,SUM($T$100:T132),0)</f>
        <v/>
      </c>
    </row>
    <row r="133" hidden="1">
      <c r="Q133" s="86" t="n">
        <v>34</v>
      </c>
      <c r="R133" s="86">
        <f>IFERROR(IF(AND(IFERROR(INDEX(Tbl案件[案件狀況],34),"")="尚未偵破",IFERROR(INDEX(Tbl案件[發生管轄],34),"")="本轄",IFERROR(INDEX(Tbl案件[歸屬年度],34),0)=(YEAR(今日)-1911)),1,0),0)</f>
        <v/>
      </c>
      <c r="S133" s="86">
        <f>IF(R133=1,SUM($R$100:R133),0)</f>
        <v/>
      </c>
      <c r="T133" s="86">
        <f>IFERROR(IF(AND(IFERROR(INDEX(Tbl案件[案件狀況],34),"")="已破獲未移送",IFERROR(INDEX(Tbl案件[查獲管轄],34),"")="本轄",IFERROR(INDEX(Tbl案件[歸屬年度],34),0)=(YEAR(今日)-1911)),1,0),0)</f>
        <v/>
      </c>
      <c r="U133" s="86">
        <f>IF(T133=1,SUM($T$100:T133),0)</f>
        <v/>
      </c>
    </row>
    <row r="134" hidden="1">
      <c r="Q134" s="86" t="n">
        <v>35</v>
      </c>
      <c r="R134" s="86">
        <f>IFERROR(IF(AND(IFERROR(INDEX(Tbl案件[案件狀況],35),"")="尚未偵破",IFERROR(INDEX(Tbl案件[發生管轄],35),"")="本轄",IFERROR(INDEX(Tbl案件[歸屬年度],35),0)=(YEAR(今日)-1911)),1,0),0)</f>
        <v/>
      </c>
      <c r="S134" s="86">
        <f>IF(R134=1,SUM($R$100:R134),0)</f>
        <v/>
      </c>
      <c r="T134" s="86">
        <f>IFERROR(IF(AND(IFERROR(INDEX(Tbl案件[案件狀況],35),"")="已破獲未移送",IFERROR(INDEX(Tbl案件[查獲管轄],35),"")="本轄",IFERROR(INDEX(Tbl案件[歸屬年度],35),0)=(YEAR(今日)-1911)),1,0),0)</f>
        <v/>
      </c>
      <c r="U134" s="86">
        <f>IF(T134=1,SUM($T$100:T134),0)</f>
        <v/>
      </c>
    </row>
    <row r="135" hidden="1">
      <c r="Q135" s="86" t="n">
        <v>36</v>
      </c>
      <c r="R135" s="86">
        <f>IFERROR(IF(AND(IFERROR(INDEX(Tbl案件[案件狀況],36),"")="尚未偵破",IFERROR(INDEX(Tbl案件[發生管轄],36),"")="本轄",IFERROR(INDEX(Tbl案件[歸屬年度],36),0)=(YEAR(今日)-1911)),1,0),0)</f>
        <v/>
      </c>
      <c r="S135" s="86">
        <f>IF(R135=1,SUM($R$100:R135),0)</f>
        <v/>
      </c>
      <c r="T135" s="86">
        <f>IFERROR(IF(AND(IFERROR(INDEX(Tbl案件[案件狀況],36),"")="已破獲未移送",IFERROR(INDEX(Tbl案件[查獲管轄],36),"")="本轄",IFERROR(INDEX(Tbl案件[歸屬年度],36),0)=(YEAR(今日)-1911)),1,0),0)</f>
        <v/>
      </c>
      <c r="U135" s="86">
        <f>IF(T135=1,SUM($T$100:T135),0)</f>
        <v/>
      </c>
    </row>
    <row r="136" hidden="1">
      <c r="Q136" s="86" t="n">
        <v>37</v>
      </c>
      <c r="R136" s="86">
        <f>IFERROR(IF(AND(IFERROR(INDEX(Tbl案件[案件狀況],37),"")="尚未偵破",IFERROR(INDEX(Tbl案件[發生管轄],37),"")="本轄",IFERROR(INDEX(Tbl案件[歸屬年度],37),0)=(YEAR(今日)-1911)),1,0),0)</f>
        <v/>
      </c>
      <c r="S136" s="86">
        <f>IF(R136=1,SUM($R$100:R136),0)</f>
        <v/>
      </c>
      <c r="T136" s="86">
        <f>IFERROR(IF(AND(IFERROR(INDEX(Tbl案件[案件狀況],37),"")="已破獲未移送",IFERROR(INDEX(Tbl案件[查獲管轄],37),"")="本轄",IFERROR(INDEX(Tbl案件[歸屬年度],37),0)=(YEAR(今日)-1911)),1,0),0)</f>
        <v/>
      </c>
      <c r="U136" s="86">
        <f>IF(T136=1,SUM($T$100:T136),0)</f>
        <v/>
      </c>
    </row>
    <row r="137" hidden="1">
      <c r="Q137" s="86" t="n">
        <v>38</v>
      </c>
      <c r="R137" s="86">
        <f>IFERROR(IF(AND(IFERROR(INDEX(Tbl案件[案件狀況],38),"")="尚未偵破",IFERROR(INDEX(Tbl案件[發生管轄],38),"")="本轄",IFERROR(INDEX(Tbl案件[歸屬年度],38),0)=(YEAR(今日)-1911)),1,0),0)</f>
        <v/>
      </c>
      <c r="S137" s="86">
        <f>IF(R137=1,SUM($R$100:R137),0)</f>
        <v/>
      </c>
      <c r="T137" s="86">
        <f>IFERROR(IF(AND(IFERROR(INDEX(Tbl案件[案件狀況],38),"")="已破獲未移送",IFERROR(INDEX(Tbl案件[查獲管轄],38),"")="本轄",IFERROR(INDEX(Tbl案件[歸屬年度],38),0)=(YEAR(今日)-1911)),1,0),0)</f>
        <v/>
      </c>
      <c r="U137" s="86">
        <f>IF(T137=1,SUM($T$100:T137),0)</f>
        <v/>
      </c>
    </row>
    <row r="138" hidden="1">
      <c r="Q138" s="86" t="n">
        <v>39</v>
      </c>
      <c r="R138" s="86">
        <f>IFERROR(IF(AND(IFERROR(INDEX(Tbl案件[案件狀況],39),"")="尚未偵破",IFERROR(INDEX(Tbl案件[發生管轄],39),"")="本轄",IFERROR(INDEX(Tbl案件[歸屬年度],39),0)=(YEAR(今日)-1911)),1,0),0)</f>
        <v/>
      </c>
      <c r="S138" s="86">
        <f>IF(R138=1,SUM($R$100:R138),0)</f>
        <v/>
      </c>
      <c r="T138" s="86">
        <f>IFERROR(IF(AND(IFERROR(INDEX(Tbl案件[案件狀況],39),"")="已破獲未移送",IFERROR(INDEX(Tbl案件[查獲管轄],39),"")="本轄",IFERROR(INDEX(Tbl案件[歸屬年度],39),0)=(YEAR(今日)-1911)),1,0),0)</f>
        <v/>
      </c>
      <c r="U138" s="86">
        <f>IF(T138=1,SUM($T$100:T138),0)</f>
        <v/>
      </c>
    </row>
    <row r="139" hidden="1">
      <c r="Q139" s="86" t="n">
        <v>40</v>
      </c>
      <c r="R139" s="86">
        <f>IFERROR(IF(AND(IFERROR(INDEX(Tbl案件[案件狀況],40),"")="尚未偵破",IFERROR(INDEX(Tbl案件[發生管轄],40),"")="本轄",IFERROR(INDEX(Tbl案件[歸屬年度],40),0)=(YEAR(今日)-1911)),1,0),0)</f>
        <v/>
      </c>
      <c r="S139" s="86">
        <f>IF(R139=1,SUM($R$100:R139),0)</f>
        <v/>
      </c>
      <c r="T139" s="86">
        <f>IFERROR(IF(AND(IFERROR(INDEX(Tbl案件[案件狀況],40),"")="已破獲未移送",IFERROR(INDEX(Tbl案件[查獲管轄],40),"")="本轄",IFERROR(INDEX(Tbl案件[歸屬年度],40),0)=(YEAR(今日)-1911)),1,0),0)</f>
        <v/>
      </c>
      <c r="U139" s="86">
        <f>IF(T139=1,SUM($T$100:T139),0)</f>
        <v/>
      </c>
    </row>
    <row r="140" hidden="1">
      <c r="Q140" s="86" t="n">
        <v>41</v>
      </c>
      <c r="R140" s="86">
        <f>IFERROR(IF(AND(IFERROR(INDEX(Tbl案件[案件狀況],41),"")="尚未偵破",IFERROR(INDEX(Tbl案件[發生管轄],41),"")="本轄",IFERROR(INDEX(Tbl案件[歸屬年度],41),0)=(YEAR(今日)-1911)),1,0),0)</f>
        <v/>
      </c>
      <c r="S140" s="86">
        <f>IF(R140=1,SUM($R$100:R140),0)</f>
        <v/>
      </c>
      <c r="T140" s="86">
        <f>IFERROR(IF(AND(IFERROR(INDEX(Tbl案件[案件狀況],41),"")="已破獲未移送",IFERROR(INDEX(Tbl案件[查獲管轄],41),"")="本轄",IFERROR(INDEX(Tbl案件[歸屬年度],41),0)=(YEAR(今日)-1911)),1,0),0)</f>
        <v/>
      </c>
      <c r="U140" s="86">
        <f>IF(T140=1,SUM($T$100:T140),0)</f>
        <v/>
      </c>
    </row>
    <row r="141" hidden="1">
      <c r="Q141" s="86" t="n">
        <v>42</v>
      </c>
      <c r="R141" s="86">
        <f>IFERROR(IF(AND(IFERROR(INDEX(Tbl案件[案件狀況],42),"")="尚未偵破",IFERROR(INDEX(Tbl案件[發生管轄],42),"")="本轄",IFERROR(INDEX(Tbl案件[歸屬年度],42),0)=(YEAR(今日)-1911)),1,0),0)</f>
        <v/>
      </c>
      <c r="S141" s="86">
        <f>IF(R141=1,SUM($R$100:R141),0)</f>
        <v/>
      </c>
      <c r="T141" s="86">
        <f>IFERROR(IF(AND(IFERROR(INDEX(Tbl案件[案件狀況],42),"")="已破獲未移送",IFERROR(INDEX(Tbl案件[查獲管轄],42),"")="本轄",IFERROR(INDEX(Tbl案件[歸屬年度],42),0)=(YEAR(今日)-1911)),1,0),0)</f>
        <v/>
      </c>
      <c r="U141" s="86">
        <f>IF(T141=1,SUM($T$100:T141),0)</f>
        <v/>
      </c>
    </row>
    <row r="142" hidden="1">
      <c r="Q142" s="86" t="n">
        <v>43</v>
      </c>
      <c r="R142" s="86">
        <f>IFERROR(IF(AND(IFERROR(INDEX(Tbl案件[案件狀況],43),"")="尚未偵破",IFERROR(INDEX(Tbl案件[發生管轄],43),"")="本轄",IFERROR(INDEX(Tbl案件[歸屬年度],43),0)=(YEAR(今日)-1911)),1,0),0)</f>
        <v/>
      </c>
      <c r="S142" s="86">
        <f>IF(R142=1,SUM($R$100:R142),0)</f>
        <v/>
      </c>
      <c r="T142" s="86">
        <f>IFERROR(IF(AND(IFERROR(INDEX(Tbl案件[案件狀況],43),"")="已破獲未移送",IFERROR(INDEX(Tbl案件[查獲管轄],43),"")="本轄",IFERROR(INDEX(Tbl案件[歸屬年度],43),0)=(YEAR(今日)-1911)),1,0),0)</f>
        <v/>
      </c>
      <c r="U142" s="86">
        <f>IF(T142=1,SUM($T$100:T142),0)</f>
        <v/>
      </c>
    </row>
    <row r="143" hidden="1">
      <c r="Q143" s="86" t="n">
        <v>44</v>
      </c>
      <c r="R143" s="86">
        <f>IFERROR(IF(AND(IFERROR(INDEX(Tbl案件[案件狀況],44),"")="尚未偵破",IFERROR(INDEX(Tbl案件[發生管轄],44),"")="本轄",IFERROR(INDEX(Tbl案件[歸屬年度],44),0)=(YEAR(今日)-1911)),1,0),0)</f>
        <v/>
      </c>
      <c r="S143" s="86">
        <f>IF(R143=1,SUM($R$100:R143),0)</f>
        <v/>
      </c>
      <c r="T143" s="86">
        <f>IFERROR(IF(AND(IFERROR(INDEX(Tbl案件[案件狀況],44),"")="已破獲未移送",IFERROR(INDEX(Tbl案件[查獲管轄],44),"")="本轄",IFERROR(INDEX(Tbl案件[歸屬年度],44),0)=(YEAR(今日)-1911)),1,0),0)</f>
        <v/>
      </c>
      <c r="U143" s="86">
        <f>IF(T143=1,SUM($T$100:T143),0)</f>
        <v/>
      </c>
    </row>
    <row r="144" hidden="1">
      <c r="Q144" s="86" t="n">
        <v>45</v>
      </c>
      <c r="R144" s="86">
        <f>IFERROR(IF(AND(IFERROR(INDEX(Tbl案件[案件狀況],45),"")="尚未偵破",IFERROR(INDEX(Tbl案件[發生管轄],45),"")="本轄",IFERROR(INDEX(Tbl案件[歸屬年度],45),0)=(YEAR(今日)-1911)),1,0),0)</f>
        <v/>
      </c>
      <c r="S144" s="86">
        <f>IF(R144=1,SUM($R$100:R144),0)</f>
        <v/>
      </c>
      <c r="T144" s="86">
        <f>IFERROR(IF(AND(IFERROR(INDEX(Tbl案件[案件狀況],45),"")="已破獲未移送",IFERROR(INDEX(Tbl案件[查獲管轄],45),"")="本轄",IFERROR(INDEX(Tbl案件[歸屬年度],45),0)=(YEAR(今日)-1911)),1,0),0)</f>
        <v/>
      </c>
      <c r="U144" s="86">
        <f>IF(T144=1,SUM($T$100:T144),0)</f>
        <v/>
      </c>
    </row>
    <row r="145" hidden="1">
      <c r="Q145" s="86" t="n">
        <v>46</v>
      </c>
      <c r="R145" s="86">
        <f>IFERROR(IF(AND(IFERROR(INDEX(Tbl案件[案件狀況],46),"")="尚未偵破",IFERROR(INDEX(Tbl案件[發生管轄],46),"")="本轄",IFERROR(INDEX(Tbl案件[歸屬年度],46),0)=(YEAR(今日)-1911)),1,0),0)</f>
        <v/>
      </c>
      <c r="S145" s="86">
        <f>IF(R145=1,SUM($R$100:R145),0)</f>
        <v/>
      </c>
      <c r="T145" s="86">
        <f>IFERROR(IF(AND(IFERROR(INDEX(Tbl案件[案件狀況],46),"")="已破獲未移送",IFERROR(INDEX(Tbl案件[查獲管轄],46),"")="本轄",IFERROR(INDEX(Tbl案件[歸屬年度],46),0)=(YEAR(今日)-1911)),1,0),0)</f>
        <v/>
      </c>
      <c r="U145" s="86">
        <f>IF(T145=1,SUM($T$100:T145),0)</f>
        <v/>
      </c>
    </row>
    <row r="146" hidden="1">
      <c r="Q146" s="86" t="n">
        <v>47</v>
      </c>
      <c r="R146" s="86">
        <f>IFERROR(IF(AND(IFERROR(INDEX(Tbl案件[案件狀況],47),"")="尚未偵破",IFERROR(INDEX(Tbl案件[發生管轄],47),"")="本轄",IFERROR(INDEX(Tbl案件[歸屬年度],47),0)=(YEAR(今日)-1911)),1,0),0)</f>
        <v/>
      </c>
      <c r="S146" s="86">
        <f>IF(R146=1,SUM($R$100:R146),0)</f>
        <v/>
      </c>
      <c r="T146" s="86">
        <f>IFERROR(IF(AND(IFERROR(INDEX(Tbl案件[案件狀況],47),"")="已破獲未移送",IFERROR(INDEX(Tbl案件[查獲管轄],47),"")="本轄",IFERROR(INDEX(Tbl案件[歸屬年度],47),0)=(YEAR(今日)-1911)),1,0),0)</f>
        <v/>
      </c>
      <c r="U146" s="86">
        <f>IF(T146=1,SUM($T$100:T146),0)</f>
        <v/>
      </c>
    </row>
    <row r="147" hidden="1">
      <c r="Q147" s="86" t="n">
        <v>48</v>
      </c>
      <c r="R147" s="86">
        <f>IFERROR(IF(AND(IFERROR(INDEX(Tbl案件[案件狀況],48),"")="尚未偵破",IFERROR(INDEX(Tbl案件[發生管轄],48),"")="本轄",IFERROR(INDEX(Tbl案件[歸屬年度],48),0)=(YEAR(今日)-1911)),1,0),0)</f>
        <v/>
      </c>
      <c r="S147" s="86">
        <f>IF(R147=1,SUM($R$100:R147),0)</f>
        <v/>
      </c>
      <c r="T147" s="86">
        <f>IFERROR(IF(AND(IFERROR(INDEX(Tbl案件[案件狀況],48),"")="已破獲未移送",IFERROR(INDEX(Tbl案件[查獲管轄],48),"")="本轄",IFERROR(INDEX(Tbl案件[歸屬年度],48),0)=(YEAR(今日)-1911)),1,0),0)</f>
        <v/>
      </c>
      <c r="U147" s="86">
        <f>IF(T147=1,SUM($T$100:T147),0)</f>
        <v/>
      </c>
    </row>
    <row r="148" hidden="1">
      <c r="Q148" s="86" t="n">
        <v>49</v>
      </c>
      <c r="R148" s="86">
        <f>IFERROR(IF(AND(IFERROR(INDEX(Tbl案件[案件狀況],49),"")="尚未偵破",IFERROR(INDEX(Tbl案件[發生管轄],49),"")="本轄",IFERROR(INDEX(Tbl案件[歸屬年度],49),0)=(YEAR(今日)-1911)),1,0),0)</f>
        <v/>
      </c>
      <c r="S148" s="86">
        <f>IF(R148=1,SUM($R$100:R148),0)</f>
        <v/>
      </c>
      <c r="T148" s="86">
        <f>IFERROR(IF(AND(IFERROR(INDEX(Tbl案件[案件狀況],49),"")="已破獲未移送",IFERROR(INDEX(Tbl案件[查獲管轄],49),"")="本轄",IFERROR(INDEX(Tbl案件[歸屬年度],49),0)=(YEAR(今日)-1911)),1,0),0)</f>
        <v/>
      </c>
      <c r="U148" s="86">
        <f>IF(T148=1,SUM($T$100:T148),0)</f>
        <v/>
      </c>
    </row>
    <row r="149" hidden="1">
      <c r="Q149" s="86" t="n">
        <v>50</v>
      </c>
      <c r="R149" s="86">
        <f>IFERROR(IF(AND(IFERROR(INDEX(Tbl案件[案件狀況],50),"")="尚未偵破",IFERROR(INDEX(Tbl案件[發生管轄],50),"")="本轄",IFERROR(INDEX(Tbl案件[歸屬年度],50),0)=(YEAR(今日)-1911)),1,0),0)</f>
        <v/>
      </c>
      <c r="S149" s="86">
        <f>IF(R149=1,SUM($R$100:R149),0)</f>
        <v/>
      </c>
      <c r="T149" s="86">
        <f>IFERROR(IF(AND(IFERROR(INDEX(Tbl案件[案件狀況],50),"")="已破獲未移送",IFERROR(INDEX(Tbl案件[查獲管轄],50),"")="本轄",IFERROR(INDEX(Tbl案件[歸屬年度],50),0)=(YEAR(今日)-1911)),1,0),0)</f>
        <v/>
      </c>
      <c r="U149" s="86">
        <f>IF(T149=1,SUM($T$100:T149),0)</f>
        <v/>
      </c>
    </row>
    <row r="150" hidden="1">
      <c r="Q150" s="86" t="n">
        <v>51</v>
      </c>
      <c r="R150" s="86">
        <f>IFERROR(IF(AND(IFERROR(INDEX(Tbl案件[案件狀況],51),"")="尚未偵破",IFERROR(INDEX(Tbl案件[發生管轄],51),"")="本轄",IFERROR(INDEX(Tbl案件[歸屬年度],51),0)=(YEAR(今日)-1911)),1,0),0)</f>
        <v/>
      </c>
      <c r="S150" s="86">
        <f>IF(R150=1,SUM($R$100:R150),0)</f>
        <v/>
      </c>
      <c r="T150" s="86">
        <f>IFERROR(IF(AND(IFERROR(INDEX(Tbl案件[案件狀況],51),"")="已破獲未移送",IFERROR(INDEX(Tbl案件[查獲管轄],51),"")="本轄",IFERROR(INDEX(Tbl案件[歸屬年度],51),0)=(YEAR(今日)-1911)),1,0),0)</f>
        <v/>
      </c>
      <c r="U150" s="86">
        <f>IF(T150=1,SUM($T$100:T150),0)</f>
        <v/>
      </c>
    </row>
    <row r="151" hidden="1">
      <c r="Q151" s="86" t="n">
        <v>52</v>
      </c>
      <c r="R151" s="86">
        <f>IFERROR(IF(AND(IFERROR(INDEX(Tbl案件[案件狀況],52),"")="尚未偵破",IFERROR(INDEX(Tbl案件[發生管轄],52),"")="本轄",IFERROR(INDEX(Tbl案件[歸屬年度],52),0)=(YEAR(今日)-1911)),1,0),0)</f>
        <v/>
      </c>
      <c r="S151" s="86">
        <f>IF(R151=1,SUM($R$100:R151),0)</f>
        <v/>
      </c>
      <c r="T151" s="86">
        <f>IFERROR(IF(AND(IFERROR(INDEX(Tbl案件[案件狀況],52),"")="已破獲未移送",IFERROR(INDEX(Tbl案件[查獲管轄],52),"")="本轄",IFERROR(INDEX(Tbl案件[歸屬年度],52),0)=(YEAR(今日)-1911)),1,0),0)</f>
        <v/>
      </c>
      <c r="U151" s="86">
        <f>IF(T151=1,SUM($T$100:T151),0)</f>
        <v/>
      </c>
    </row>
    <row r="152" hidden="1">
      <c r="Q152" s="86" t="n">
        <v>53</v>
      </c>
      <c r="R152" s="86">
        <f>IFERROR(IF(AND(IFERROR(INDEX(Tbl案件[案件狀況],53),"")="尚未偵破",IFERROR(INDEX(Tbl案件[發生管轄],53),"")="本轄",IFERROR(INDEX(Tbl案件[歸屬年度],53),0)=(YEAR(今日)-1911)),1,0),0)</f>
        <v/>
      </c>
      <c r="S152" s="86">
        <f>IF(R152=1,SUM($R$100:R152),0)</f>
        <v/>
      </c>
      <c r="T152" s="86">
        <f>IFERROR(IF(AND(IFERROR(INDEX(Tbl案件[案件狀況],53),"")="已破獲未移送",IFERROR(INDEX(Tbl案件[查獲管轄],53),"")="本轄",IFERROR(INDEX(Tbl案件[歸屬年度],53),0)=(YEAR(今日)-1911)),1,0),0)</f>
        <v/>
      </c>
      <c r="U152" s="86">
        <f>IF(T152=1,SUM($T$100:T152),0)</f>
        <v/>
      </c>
    </row>
    <row r="153" hidden="1">
      <c r="Q153" s="86" t="n">
        <v>54</v>
      </c>
      <c r="R153" s="86">
        <f>IFERROR(IF(AND(IFERROR(INDEX(Tbl案件[案件狀況],54),"")="尚未偵破",IFERROR(INDEX(Tbl案件[發生管轄],54),"")="本轄",IFERROR(INDEX(Tbl案件[歸屬年度],54),0)=(YEAR(今日)-1911)),1,0),0)</f>
        <v/>
      </c>
      <c r="S153" s="86">
        <f>IF(R153=1,SUM($R$100:R153),0)</f>
        <v/>
      </c>
      <c r="T153" s="86">
        <f>IFERROR(IF(AND(IFERROR(INDEX(Tbl案件[案件狀況],54),"")="已破獲未移送",IFERROR(INDEX(Tbl案件[查獲管轄],54),"")="本轄",IFERROR(INDEX(Tbl案件[歸屬年度],54),0)=(YEAR(今日)-1911)),1,0),0)</f>
        <v/>
      </c>
      <c r="U153" s="86">
        <f>IF(T153=1,SUM($T$100:T153),0)</f>
        <v/>
      </c>
    </row>
    <row r="154" hidden="1">
      <c r="Q154" s="86" t="n">
        <v>55</v>
      </c>
      <c r="R154" s="86">
        <f>IFERROR(IF(AND(IFERROR(INDEX(Tbl案件[案件狀況],55),"")="尚未偵破",IFERROR(INDEX(Tbl案件[發生管轄],55),"")="本轄",IFERROR(INDEX(Tbl案件[歸屬年度],55),0)=(YEAR(今日)-1911)),1,0),0)</f>
        <v/>
      </c>
      <c r="S154" s="86">
        <f>IF(R154=1,SUM($R$100:R154),0)</f>
        <v/>
      </c>
      <c r="T154" s="86">
        <f>IFERROR(IF(AND(IFERROR(INDEX(Tbl案件[案件狀況],55),"")="已破獲未移送",IFERROR(INDEX(Tbl案件[查獲管轄],55),"")="本轄",IFERROR(INDEX(Tbl案件[歸屬年度],55),0)=(YEAR(今日)-1911)),1,0),0)</f>
        <v/>
      </c>
      <c r="U154" s="86">
        <f>IF(T154=1,SUM($T$100:T154),0)</f>
        <v/>
      </c>
    </row>
    <row r="155" hidden="1">
      <c r="Q155" s="86" t="n">
        <v>56</v>
      </c>
      <c r="R155" s="86">
        <f>IFERROR(IF(AND(IFERROR(INDEX(Tbl案件[案件狀況],56),"")="尚未偵破",IFERROR(INDEX(Tbl案件[發生管轄],56),"")="本轄",IFERROR(INDEX(Tbl案件[歸屬年度],56),0)=(YEAR(今日)-1911)),1,0),0)</f>
        <v/>
      </c>
      <c r="S155" s="86">
        <f>IF(R155=1,SUM($R$100:R155),0)</f>
        <v/>
      </c>
      <c r="T155" s="86">
        <f>IFERROR(IF(AND(IFERROR(INDEX(Tbl案件[案件狀況],56),"")="已破獲未移送",IFERROR(INDEX(Tbl案件[查獲管轄],56),"")="本轄",IFERROR(INDEX(Tbl案件[歸屬年度],56),0)=(YEAR(今日)-1911)),1,0),0)</f>
        <v/>
      </c>
      <c r="U155" s="86">
        <f>IF(T155=1,SUM($T$100:T155),0)</f>
        <v/>
      </c>
    </row>
    <row r="156" hidden="1">
      <c r="Q156" s="86" t="n">
        <v>57</v>
      </c>
      <c r="R156" s="86">
        <f>IFERROR(IF(AND(IFERROR(INDEX(Tbl案件[案件狀況],57),"")="尚未偵破",IFERROR(INDEX(Tbl案件[發生管轄],57),"")="本轄",IFERROR(INDEX(Tbl案件[歸屬年度],57),0)=(YEAR(今日)-1911)),1,0),0)</f>
        <v/>
      </c>
      <c r="S156" s="86">
        <f>IF(R156=1,SUM($R$100:R156),0)</f>
        <v/>
      </c>
      <c r="T156" s="86">
        <f>IFERROR(IF(AND(IFERROR(INDEX(Tbl案件[案件狀況],57),"")="已破獲未移送",IFERROR(INDEX(Tbl案件[查獲管轄],57),"")="本轄",IFERROR(INDEX(Tbl案件[歸屬年度],57),0)=(YEAR(今日)-1911)),1,0),0)</f>
        <v/>
      </c>
      <c r="U156" s="86">
        <f>IF(T156=1,SUM($T$100:T156),0)</f>
        <v/>
      </c>
    </row>
    <row r="157" hidden="1">
      <c r="Q157" s="86" t="n">
        <v>58</v>
      </c>
      <c r="R157" s="86">
        <f>IFERROR(IF(AND(IFERROR(INDEX(Tbl案件[案件狀況],58),"")="尚未偵破",IFERROR(INDEX(Tbl案件[發生管轄],58),"")="本轄",IFERROR(INDEX(Tbl案件[歸屬年度],58),0)=(YEAR(今日)-1911)),1,0),0)</f>
        <v/>
      </c>
      <c r="S157" s="86">
        <f>IF(R157=1,SUM($R$100:R157),0)</f>
        <v/>
      </c>
      <c r="T157" s="86">
        <f>IFERROR(IF(AND(IFERROR(INDEX(Tbl案件[案件狀況],58),"")="已破獲未移送",IFERROR(INDEX(Tbl案件[查獲管轄],58),"")="本轄",IFERROR(INDEX(Tbl案件[歸屬年度],58),0)=(YEAR(今日)-1911)),1,0),0)</f>
        <v/>
      </c>
      <c r="U157" s="86">
        <f>IF(T157=1,SUM($T$100:T157),0)</f>
        <v/>
      </c>
    </row>
    <row r="158" hidden="1">
      <c r="Q158" s="86" t="n">
        <v>59</v>
      </c>
      <c r="R158" s="86">
        <f>IFERROR(IF(AND(IFERROR(INDEX(Tbl案件[案件狀況],59),"")="尚未偵破",IFERROR(INDEX(Tbl案件[發生管轄],59),"")="本轄",IFERROR(INDEX(Tbl案件[歸屬年度],59),0)=(YEAR(今日)-1911)),1,0),0)</f>
        <v/>
      </c>
      <c r="S158" s="86">
        <f>IF(R158=1,SUM($R$100:R158),0)</f>
        <v/>
      </c>
      <c r="T158" s="86">
        <f>IFERROR(IF(AND(IFERROR(INDEX(Tbl案件[案件狀況],59),"")="已破獲未移送",IFERROR(INDEX(Tbl案件[查獲管轄],59),"")="本轄",IFERROR(INDEX(Tbl案件[歸屬年度],59),0)=(YEAR(今日)-1911)),1,0),0)</f>
        <v/>
      </c>
      <c r="U158" s="86">
        <f>IF(T158=1,SUM($T$100:T158),0)</f>
        <v/>
      </c>
    </row>
    <row r="159" hidden="1">
      <c r="Q159" s="86" t="n">
        <v>60</v>
      </c>
      <c r="R159" s="86">
        <f>IFERROR(IF(AND(IFERROR(INDEX(Tbl案件[案件狀況],60),"")="尚未偵破",IFERROR(INDEX(Tbl案件[發生管轄],60),"")="本轄",IFERROR(INDEX(Tbl案件[歸屬年度],60),0)=(YEAR(今日)-1911)),1,0),0)</f>
        <v/>
      </c>
      <c r="S159" s="86">
        <f>IF(R159=1,SUM($R$100:R159),0)</f>
        <v/>
      </c>
      <c r="T159" s="86">
        <f>IFERROR(IF(AND(IFERROR(INDEX(Tbl案件[案件狀況],60),"")="已破獲未移送",IFERROR(INDEX(Tbl案件[查獲管轄],60),"")="本轄",IFERROR(INDEX(Tbl案件[歸屬年度],60),0)=(YEAR(今日)-1911)),1,0),0)</f>
        <v/>
      </c>
      <c r="U159" s="86">
        <f>IF(T159=1,SUM($T$100:T159),0)</f>
        <v/>
      </c>
    </row>
    <row r="160" hidden="1">
      <c r="Q160" s="86" t="n">
        <v>61</v>
      </c>
      <c r="R160" s="86">
        <f>IFERROR(IF(AND(IFERROR(INDEX(Tbl案件[案件狀況],61),"")="尚未偵破",IFERROR(INDEX(Tbl案件[發生管轄],61),"")="本轄",IFERROR(INDEX(Tbl案件[歸屬年度],61),0)=(YEAR(今日)-1911)),1,0),0)</f>
        <v/>
      </c>
      <c r="S160" s="86">
        <f>IF(R160=1,SUM($R$100:R160),0)</f>
        <v/>
      </c>
      <c r="T160" s="86">
        <f>IFERROR(IF(AND(IFERROR(INDEX(Tbl案件[案件狀況],61),"")="已破獲未移送",IFERROR(INDEX(Tbl案件[查獲管轄],61),"")="本轄",IFERROR(INDEX(Tbl案件[歸屬年度],61),0)=(YEAR(今日)-1911)),1,0),0)</f>
        <v/>
      </c>
      <c r="U160" s="86">
        <f>IF(T160=1,SUM($T$100:T160),0)</f>
        <v/>
      </c>
    </row>
    <row r="161" hidden="1">
      <c r="Q161" s="86" t="n">
        <v>62</v>
      </c>
      <c r="R161" s="86">
        <f>IFERROR(IF(AND(IFERROR(INDEX(Tbl案件[案件狀況],62),"")="尚未偵破",IFERROR(INDEX(Tbl案件[發生管轄],62),"")="本轄",IFERROR(INDEX(Tbl案件[歸屬年度],62),0)=(YEAR(今日)-1911)),1,0),0)</f>
        <v/>
      </c>
      <c r="S161" s="86">
        <f>IF(R161=1,SUM($R$100:R161),0)</f>
        <v/>
      </c>
      <c r="T161" s="86">
        <f>IFERROR(IF(AND(IFERROR(INDEX(Tbl案件[案件狀況],62),"")="已破獲未移送",IFERROR(INDEX(Tbl案件[查獲管轄],62),"")="本轄",IFERROR(INDEX(Tbl案件[歸屬年度],62),0)=(YEAR(今日)-1911)),1,0),0)</f>
        <v/>
      </c>
      <c r="U161" s="86">
        <f>IF(T161=1,SUM($T$100:T161),0)</f>
        <v/>
      </c>
    </row>
    <row r="162" hidden="1">
      <c r="Q162" s="86" t="n">
        <v>63</v>
      </c>
      <c r="R162" s="86">
        <f>IFERROR(IF(AND(IFERROR(INDEX(Tbl案件[案件狀況],63),"")="尚未偵破",IFERROR(INDEX(Tbl案件[發生管轄],63),"")="本轄",IFERROR(INDEX(Tbl案件[歸屬年度],63),0)=(YEAR(今日)-1911)),1,0),0)</f>
        <v/>
      </c>
      <c r="S162" s="86">
        <f>IF(R162=1,SUM($R$100:R162),0)</f>
        <v/>
      </c>
      <c r="T162" s="86">
        <f>IFERROR(IF(AND(IFERROR(INDEX(Tbl案件[案件狀況],63),"")="已破獲未移送",IFERROR(INDEX(Tbl案件[查獲管轄],63),"")="本轄",IFERROR(INDEX(Tbl案件[歸屬年度],63),0)=(YEAR(今日)-1911)),1,0),0)</f>
        <v/>
      </c>
      <c r="U162" s="86">
        <f>IF(T162=1,SUM($T$100:T162),0)</f>
        <v/>
      </c>
    </row>
    <row r="163" hidden="1">
      <c r="Q163" s="86" t="n">
        <v>64</v>
      </c>
      <c r="R163" s="86">
        <f>IFERROR(IF(AND(IFERROR(INDEX(Tbl案件[案件狀況],64),"")="尚未偵破",IFERROR(INDEX(Tbl案件[發生管轄],64),"")="本轄",IFERROR(INDEX(Tbl案件[歸屬年度],64),0)=(YEAR(今日)-1911)),1,0),0)</f>
        <v/>
      </c>
      <c r="S163" s="86">
        <f>IF(R163=1,SUM($R$100:R163),0)</f>
        <v/>
      </c>
      <c r="T163" s="86">
        <f>IFERROR(IF(AND(IFERROR(INDEX(Tbl案件[案件狀況],64),"")="已破獲未移送",IFERROR(INDEX(Tbl案件[查獲管轄],64),"")="本轄",IFERROR(INDEX(Tbl案件[歸屬年度],64),0)=(YEAR(今日)-1911)),1,0),0)</f>
        <v/>
      </c>
      <c r="U163" s="86">
        <f>IF(T163=1,SUM($T$100:T163),0)</f>
        <v/>
      </c>
    </row>
    <row r="164" hidden="1">
      <c r="Q164" s="86" t="n">
        <v>65</v>
      </c>
      <c r="R164" s="86">
        <f>IFERROR(IF(AND(IFERROR(INDEX(Tbl案件[案件狀況],65),"")="尚未偵破",IFERROR(INDEX(Tbl案件[發生管轄],65),"")="本轄",IFERROR(INDEX(Tbl案件[歸屬年度],65),0)=(YEAR(今日)-1911)),1,0),0)</f>
        <v/>
      </c>
      <c r="S164" s="86">
        <f>IF(R164=1,SUM($R$100:R164),0)</f>
        <v/>
      </c>
      <c r="T164" s="86">
        <f>IFERROR(IF(AND(IFERROR(INDEX(Tbl案件[案件狀況],65),"")="已破獲未移送",IFERROR(INDEX(Tbl案件[查獲管轄],65),"")="本轄",IFERROR(INDEX(Tbl案件[歸屬年度],65),0)=(YEAR(今日)-1911)),1,0),0)</f>
        <v/>
      </c>
      <c r="U164" s="86">
        <f>IF(T164=1,SUM($T$100:T164),0)</f>
        <v/>
      </c>
    </row>
    <row r="165" hidden="1">
      <c r="Q165" s="86" t="n">
        <v>66</v>
      </c>
      <c r="R165" s="86">
        <f>IFERROR(IF(AND(IFERROR(INDEX(Tbl案件[案件狀況],66),"")="尚未偵破",IFERROR(INDEX(Tbl案件[發生管轄],66),"")="本轄",IFERROR(INDEX(Tbl案件[歸屬年度],66),0)=(YEAR(今日)-1911)),1,0),0)</f>
        <v/>
      </c>
      <c r="S165" s="86">
        <f>IF(R165=1,SUM($R$100:R165),0)</f>
        <v/>
      </c>
      <c r="T165" s="86">
        <f>IFERROR(IF(AND(IFERROR(INDEX(Tbl案件[案件狀況],66),"")="已破獲未移送",IFERROR(INDEX(Tbl案件[查獲管轄],66),"")="本轄",IFERROR(INDEX(Tbl案件[歸屬年度],66),0)=(YEAR(今日)-1911)),1,0),0)</f>
        <v/>
      </c>
      <c r="U165" s="86">
        <f>IF(T165=1,SUM($T$100:T165),0)</f>
        <v/>
      </c>
    </row>
    <row r="166" hidden="1">
      <c r="Q166" s="86" t="n">
        <v>67</v>
      </c>
      <c r="R166" s="86">
        <f>IFERROR(IF(AND(IFERROR(INDEX(Tbl案件[案件狀況],67),"")="尚未偵破",IFERROR(INDEX(Tbl案件[發生管轄],67),"")="本轄",IFERROR(INDEX(Tbl案件[歸屬年度],67),0)=(YEAR(今日)-1911)),1,0),0)</f>
        <v/>
      </c>
      <c r="S166" s="86">
        <f>IF(R166=1,SUM($R$100:R166),0)</f>
        <v/>
      </c>
      <c r="T166" s="86">
        <f>IFERROR(IF(AND(IFERROR(INDEX(Tbl案件[案件狀況],67),"")="已破獲未移送",IFERROR(INDEX(Tbl案件[查獲管轄],67),"")="本轄",IFERROR(INDEX(Tbl案件[歸屬年度],67),0)=(YEAR(今日)-1911)),1,0),0)</f>
        <v/>
      </c>
      <c r="U166" s="86">
        <f>IF(T166=1,SUM($T$100:T166),0)</f>
        <v/>
      </c>
    </row>
    <row r="167" hidden="1">
      <c r="Q167" s="86" t="n">
        <v>68</v>
      </c>
      <c r="R167" s="86">
        <f>IFERROR(IF(AND(IFERROR(INDEX(Tbl案件[案件狀況],68),"")="尚未偵破",IFERROR(INDEX(Tbl案件[發生管轄],68),"")="本轄",IFERROR(INDEX(Tbl案件[歸屬年度],68),0)=(YEAR(今日)-1911)),1,0),0)</f>
        <v/>
      </c>
      <c r="S167" s="86">
        <f>IF(R167=1,SUM($R$100:R167),0)</f>
        <v/>
      </c>
      <c r="T167" s="86">
        <f>IFERROR(IF(AND(IFERROR(INDEX(Tbl案件[案件狀況],68),"")="已破獲未移送",IFERROR(INDEX(Tbl案件[查獲管轄],68),"")="本轄",IFERROR(INDEX(Tbl案件[歸屬年度],68),0)=(YEAR(今日)-1911)),1,0),0)</f>
        <v/>
      </c>
      <c r="U167" s="86">
        <f>IF(T167=1,SUM($T$100:T167),0)</f>
        <v/>
      </c>
    </row>
    <row r="168" hidden="1">
      <c r="Q168" s="86" t="n">
        <v>69</v>
      </c>
      <c r="R168" s="86">
        <f>IFERROR(IF(AND(IFERROR(INDEX(Tbl案件[案件狀況],69),"")="尚未偵破",IFERROR(INDEX(Tbl案件[發生管轄],69),"")="本轄",IFERROR(INDEX(Tbl案件[歸屬年度],69),0)=(YEAR(今日)-1911)),1,0),0)</f>
        <v/>
      </c>
      <c r="S168" s="86">
        <f>IF(R168=1,SUM($R$100:R168),0)</f>
        <v/>
      </c>
      <c r="T168" s="86">
        <f>IFERROR(IF(AND(IFERROR(INDEX(Tbl案件[案件狀況],69),"")="已破獲未移送",IFERROR(INDEX(Tbl案件[查獲管轄],69),"")="本轄",IFERROR(INDEX(Tbl案件[歸屬年度],69),0)=(YEAR(今日)-1911)),1,0),0)</f>
        <v/>
      </c>
      <c r="U168" s="86">
        <f>IF(T168=1,SUM($T$100:T168),0)</f>
        <v/>
      </c>
    </row>
    <row r="169" hidden="1">
      <c r="Q169" s="86" t="n">
        <v>70</v>
      </c>
      <c r="R169" s="86">
        <f>IFERROR(IF(AND(IFERROR(INDEX(Tbl案件[案件狀況],70),"")="尚未偵破",IFERROR(INDEX(Tbl案件[發生管轄],70),"")="本轄",IFERROR(INDEX(Tbl案件[歸屬年度],70),0)=(YEAR(今日)-1911)),1,0),0)</f>
        <v/>
      </c>
      <c r="S169" s="86">
        <f>IF(R169=1,SUM($R$100:R169),0)</f>
        <v/>
      </c>
      <c r="T169" s="86">
        <f>IFERROR(IF(AND(IFERROR(INDEX(Tbl案件[案件狀況],70),"")="已破獲未移送",IFERROR(INDEX(Tbl案件[查獲管轄],70),"")="本轄",IFERROR(INDEX(Tbl案件[歸屬年度],70),0)=(YEAR(今日)-1911)),1,0),0)</f>
        <v/>
      </c>
      <c r="U169" s="86">
        <f>IF(T169=1,SUM($T$100:T169),0)</f>
        <v/>
      </c>
    </row>
    <row r="170" hidden="1">
      <c r="Q170" s="86" t="n">
        <v>71</v>
      </c>
      <c r="R170" s="86">
        <f>IFERROR(IF(AND(IFERROR(INDEX(Tbl案件[案件狀況],71),"")="尚未偵破",IFERROR(INDEX(Tbl案件[發生管轄],71),"")="本轄",IFERROR(INDEX(Tbl案件[歸屬年度],71),0)=(YEAR(今日)-1911)),1,0),0)</f>
        <v/>
      </c>
      <c r="S170" s="86">
        <f>IF(R170=1,SUM($R$100:R170),0)</f>
        <v/>
      </c>
      <c r="T170" s="86">
        <f>IFERROR(IF(AND(IFERROR(INDEX(Tbl案件[案件狀況],71),"")="已破獲未移送",IFERROR(INDEX(Tbl案件[查獲管轄],71),"")="本轄",IFERROR(INDEX(Tbl案件[歸屬年度],71),0)=(YEAR(今日)-1911)),1,0),0)</f>
        <v/>
      </c>
      <c r="U170" s="86">
        <f>IF(T170=1,SUM($T$100:T170),0)</f>
        <v/>
      </c>
    </row>
    <row r="171" hidden="1">
      <c r="Q171" s="86" t="n">
        <v>72</v>
      </c>
      <c r="R171" s="86">
        <f>IFERROR(IF(AND(IFERROR(INDEX(Tbl案件[案件狀況],72),"")="尚未偵破",IFERROR(INDEX(Tbl案件[發生管轄],72),"")="本轄",IFERROR(INDEX(Tbl案件[歸屬年度],72),0)=(YEAR(今日)-1911)),1,0),0)</f>
        <v/>
      </c>
      <c r="S171" s="86">
        <f>IF(R171=1,SUM($R$100:R171),0)</f>
        <v/>
      </c>
      <c r="T171" s="86">
        <f>IFERROR(IF(AND(IFERROR(INDEX(Tbl案件[案件狀況],72),"")="已破獲未移送",IFERROR(INDEX(Tbl案件[查獲管轄],72),"")="本轄",IFERROR(INDEX(Tbl案件[歸屬年度],72),0)=(YEAR(今日)-1911)),1,0),0)</f>
        <v/>
      </c>
      <c r="U171" s="86">
        <f>IF(T171=1,SUM($T$100:T171),0)</f>
        <v/>
      </c>
    </row>
    <row r="172" hidden="1">
      <c r="Q172" s="86" t="n">
        <v>73</v>
      </c>
      <c r="R172" s="86">
        <f>IFERROR(IF(AND(IFERROR(INDEX(Tbl案件[案件狀況],73),"")="尚未偵破",IFERROR(INDEX(Tbl案件[發生管轄],73),"")="本轄",IFERROR(INDEX(Tbl案件[歸屬年度],73),0)=(YEAR(今日)-1911)),1,0),0)</f>
        <v/>
      </c>
      <c r="S172" s="86">
        <f>IF(R172=1,SUM($R$100:R172),0)</f>
        <v/>
      </c>
      <c r="T172" s="86">
        <f>IFERROR(IF(AND(IFERROR(INDEX(Tbl案件[案件狀況],73),"")="已破獲未移送",IFERROR(INDEX(Tbl案件[查獲管轄],73),"")="本轄",IFERROR(INDEX(Tbl案件[歸屬年度],73),0)=(YEAR(今日)-1911)),1,0),0)</f>
        <v/>
      </c>
      <c r="U172" s="86">
        <f>IF(T172=1,SUM($T$100:T172),0)</f>
        <v/>
      </c>
    </row>
    <row r="173" hidden="1">
      <c r="Q173" s="86" t="n">
        <v>74</v>
      </c>
      <c r="R173" s="86">
        <f>IFERROR(IF(AND(IFERROR(INDEX(Tbl案件[案件狀況],74),"")="尚未偵破",IFERROR(INDEX(Tbl案件[發生管轄],74),"")="本轄",IFERROR(INDEX(Tbl案件[歸屬年度],74),0)=(YEAR(今日)-1911)),1,0),0)</f>
        <v/>
      </c>
      <c r="S173" s="86">
        <f>IF(R173=1,SUM($R$100:R173),0)</f>
        <v/>
      </c>
      <c r="T173" s="86">
        <f>IFERROR(IF(AND(IFERROR(INDEX(Tbl案件[案件狀況],74),"")="已破獲未移送",IFERROR(INDEX(Tbl案件[查獲管轄],74),"")="本轄",IFERROR(INDEX(Tbl案件[歸屬年度],74),0)=(YEAR(今日)-1911)),1,0),0)</f>
        <v/>
      </c>
      <c r="U173" s="86">
        <f>IF(T173=1,SUM($T$100:T173),0)</f>
        <v/>
      </c>
    </row>
    <row r="174" hidden="1">
      <c r="Q174" s="86" t="n">
        <v>75</v>
      </c>
      <c r="R174" s="86">
        <f>IFERROR(IF(AND(IFERROR(INDEX(Tbl案件[案件狀況],75),"")="尚未偵破",IFERROR(INDEX(Tbl案件[發生管轄],75),"")="本轄",IFERROR(INDEX(Tbl案件[歸屬年度],75),0)=(YEAR(今日)-1911)),1,0),0)</f>
        <v/>
      </c>
      <c r="S174" s="86">
        <f>IF(R174=1,SUM($R$100:R174),0)</f>
        <v/>
      </c>
      <c r="T174" s="86">
        <f>IFERROR(IF(AND(IFERROR(INDEX(Tbl案件[案件狀況],75),"")="已破獲未移送",IFERROR(INDEX(Tbl案件[查獲管轄],75),"")="本轄",IFERROR(INDEX(Tbl案件[歸屬年度],75),0)=(YEAR(今日)-1911)),1,0),0)</f>
        <v/>
      </c>
      <c r="U174" s="86">
        <f>IF(T174=1,SUM($T$100:T174),0)</f>
        <v/>
      </c>
    </row>
    <row r="175" hidden="1">
      <c r="Q175" s="86" t="n">
        <v>76</v>
      </c>
      <c r="R175" s="86">
        <f>IFERROR(IF(AND(IFERROR(INDEX(Tbl案件[案件狀況],76),"")="尚未偵破",IFERROR(INDEX(Tbl案件[發生管轄],76),"")="本轄",IFERROR(INDEX(Tbl案件[歸屬年度],76),0)=(YEAR(今日)-1911)),1,0),0)</f>
        <v/>
      </c>
      <c r="S175" s="86">
        <f>IF(R175=1,SUM($R$100:R175),0)</f>
        <v/>
      </c>
      <c r="T175" s="86">
        <f>IFERROR(IF(AND(IFERROR(INDEX(Tbl案件[案件狀況],76),"")="已破獲未移送",IFERROR(INDEX(Tbl案件[查獲管轄],76),"")="本轄",IFERROR(INDEX(Tbl案件[歸屬年度],76),0)=(YEAR(今日)-1911)),1,0),0)</f>
        <v/>
      </c>
      <c r="U175" s="86">
        <f>IF(T175=1,SUM($T$100:T175),0)</f>
        <v/>
      </c>
    </row>
    <row r="176" hidden="1">
      <c r="Q176" s="86" t="n">
        <v>77</v>
      </c>
      <c r="R176" s="86">
        <f>IFERROR(IF(AND(IFERROR(INDEX(Tbl案件[案件狀況],77),"")="尚未偵破",IFERROR(INDEX(Tbl案件[發生管轄],77),"")="本轄",IFERROR(INDEX(Tbl案件[歸屬年度],77),0)=(YEAR(今日)-1911)),1,0),0)</f>
        <v/>
      </c>
      <c r="S176" s="86">
        <f>IF(R176=1,SUM($R$100:R176),0)</f>
        <v/>
      </c>
      <c r="T176" s="86">
        <f>IFERROR(IF(AND(IFERROR(INDEX(Tbl案件[案件狀況],77),"")="已破獲未移送",IFERROR(INDEX(Tbl案件[查獲管轄],77),"")="本轄",IFERROR(INDEX(Tbl案件[歸屬年度],77),0)=(YEAR(今日)-1911)),1,0),0)</f>
        <v/>
      </c>
      <c r="U176" s="86">
        <f>IF(T176=1,SUM($T$100:T176),0)</f>
        <v/>
      </c>
    </row>
    <row r="177" hidden="1">
      <c r="Q177" s="86" t="n">
        <v>78</v>
      </c>
      <c r="R177" s="86">
        <f>IFERROR(IF(AND(IFERROR(INDEX(Tbl案件[案件狀況],78),"")="尚未偵破",IFERROR(INDEX(Tbl案件[發生管轄],78),"")="本轄",IFERROR(INDEX(Tbl案件[歸屬年度],78),0)=(YEAR(今日)-1911)),1,0),0)</f>
        <v/>
      </c>
      <c r="S177" s="86">
        <f>IF(R177=1,SUM($R$100:R177),0)</f>
        <v/>
      </c>
      <c r="T177" s="86">
        <f>IFERROR(IF(AND(IFERROR(INDEX(Tbl案件[案件狀況],78),"")="已破獲未移送",IFERROR(INDEX(Tbl案件[查獲管轄],78),"")="本轄",IFERROR(INDEX(Tbl案件[歸屬年度],78),0)=(YEAR(今日)-1911)),1,0),0)</f>
        <v/>
      </c>
      <c r="U177" s="86">
        <f>IF(T177=1,SUM($T$100:T177),0)</f>
        <v/>
      </c>
    </row>
    <row r="178" hidden="1">
      <c r="Q178" s="86" t="n">
        <v>79</v>
      </c>
      <c r="R178" s="86">
        <f>IFERROR(IF(AND(IFERROR(INDEX(Tbl案件[案件狀況],79),"")="尚未偵破",IFERROR(INDEX(Tbl案件[發生管轄],79),"")="本轄",IFERROR(INDEX(Tbl案件[歸屬年度],79),0)=(YEAR(今日)-1911)),1,0),0)</f>
        <v/>
      </c>
      <c r="S178" s="86">
        <f>IF(R178=1,SUM($R$100:R178),0)</f>
        <v/>
      </c>
      <c r="T178" s="86">
        <f>IFERROR(IF(AND(IFERROR(INDEX(Tbl案件[案件狀況],79),"")="已破獲未移送",IFERROR(INDEX(Tbl案件[查獲管轄],79),"")="本轄",IFERROR(INDEX(Tbl案件[歸屬年度],79),0)=(YEAR(今日)-1911)),1,0),0)</f>
        <v/>
      </c>
      <c r="U178" s="86">
        <f>IF(T178=1,SUM($T$100:T178),0)</f>
        <v/>
      </c>
    </row>
    <row r="179" hidden="1">
      <c r="Q179" s="86" t="n">
        <v>80</v>
      </c>
      <c r="R179" s="86">
        <f>IFERROR(IF(AND(IFERROR(INDEX(Tbl案件[案件狀況],80),"")="尚未偵破",IFERROR(INDEX(Tbl案件[發生管轄],80),"")="本轄",IFERROR(INDEX(Tbl案件[歸屬年度],80),0)=(YEAR(今日)-1911)),1,0),0)</f>
        <v/>
      </c>
      <c r="S179" s="86">
        <f>IF(R179=1,SUM($R$100:R179),0)</f>
        <v/>
      </c>
      <c r="T179" s="86">
        <f>IFERROR(IF(AND(IFERROR(INDEX(Tbl案件[案件狀況],80),"")="已破獲未移送",IFERROR(INDEX(Tbl案件[查獲管轄],80),"")="本轄",IFERROR(INDEX(Tbl案件[歸屬年度],80),0)=(YEAR(今日)-1911)),1,0),0)</f>
        <v/>
      </c>
      <c r="U179" s="86">
        <f>IF(T179=1,SUM($T$100:T179),0)</f>
        <v/>
      </c>
    </row>
    <row r="180" hidden="1">
      <c r="Q180" s="86" t="n">
        <v>81</v>
      </c>
      <c r="R180" s="86">
        <f>IFERROR(IF(AND(IFERROR(INDEX(Tbl案件[案件狀況],81),"")="尚未偵破",IFERROR(INDEX(Tbl案件[發生管轄],81),"")="本轄",IFERROR(INDEX(Tbl案件[歸屬年度],81),0)=(YEAR(今日)-1911)),1,0),0)</f>
        <v/>
      </c>
      <c r="S180" s="86">
        <f>IF(R180=1,SUM($R$100:R180),0)</f>
        <v/>
      </c>
      <c r="T180" s="86">
        <f>IFERROR(IF(AND(IFERROR(INDEX(Tbl案件[案件狀況],81),"")="已破獲未移送",IFERROR(INDEX(Tbl案件[查獲管轄],81),"")="本轄",IFERROR(INDEX(Tbl案件[歸屬年度],81),0)=(YEAR(今日)-1911)),1,0),0)</f>
        <v/>
      </c>
      <c r="U180" s="86">
        <f>IF(T180=1,SUM($T$100:T180),0)</f>
        <v/>
      </c>
    </row>
    <row r="181" hidden="1">
      <c r="Q181" s="86" t="n">
        <v>82</v>
      </c>
      <c r="R181" s="86">
        <f>IFERROR(IF(AND(IFERROR(INDEX(Tbl案件[案件狀況],82),"")="尚未偵破",IFERROR(INDEX(Tbl案件[發生管轄],82),"")="本轄",IFERROR(INDEX(Tbl案件[歸屬年度],82),0)=(YEAR(今日)-1911)),1,0),0)</f>
        <v/>
      </c>
      <c r="S181" s="86">
        <f>IF(R181=1,SUM($R$100:R181),0)</f>
        <v/>
      </c>
      <c r="T181" s="86">
        <f>IFERROR(IF(AND(IFERROR(INDEX(Tbl案件[案件狀況],82),"")="已破獲未移送",IFERROR(INDEX(Tbl案件[查獲管轄],82),"")="本轄",IFERROR(INDEX(Tbl案件[歸屬年度],82),0)=(YEAR(今日)-1911)),1,0),0)</f>
        <v/>
      </c>
      <c r="U181" s="86">
        <f>IF(T181=1,SUM($T$100:T181),0)</f>
        <v/>
      </c>
    </row>
    <row r="182" hidden="1">
      <c r="Q182" s="86" t="n">
        <v>83</v>
      </c>
      <c r="R182" s="86">
        <f>IFERROR(IF(AND(IFERROR(INDEX(Tbl案件[案件狀況],83),"")="尚未偵破",IFERROR(INDEX(Tbl案件[發生管轄],83),"")="本轄",IFERROR(INDEX(Tbl案件[歸屬年度],83),0)=(YEAR(今日)-1911)),1,0),0)</f>
        <v/>
      </c>
      <c r="S182" s="86">
        <f>IF(R182=1,SUM($R$100:R182),0)</f>
        <v/>
      </c>
      <c r="T182" s="86">
        <f>IFERROR(IF(AND(IFERROR(INDEX(Tbl案件[案件狀況],83),"")="已破獲未移送",IFERROR(INDEX(Tbl案件[查獲管轄],83),"")="本轄",IFERROR(INDEX(Tbl案件[歸屬年度],83),0)=(YEAR(今日)-1911)),1,0),0)</f>
        <v/>
      </c>
      <c r="U182" s="86">
        <f>IF(T182=1,SUM($T$100:T182),0)</f>
        <v/>
      </c>
    </row>
    <row r="183" hidden="1">
      <c r="Q183" s="86" t="n">
        <v>84</v>
      </c>
      <c r="R183" s="86">
        <f>IFERROR(IF(AND(IFERROR(INDEX(Tbl案件[案件狀況],84),"")="尚未偵破",IFERROR(INDEX(Tbl案件[發生管轄],84),"")="本轄",IFERROR(INDEX(Tbl案件[歸屬年度],84),0)=(YEAR(今日)-1911)),1,0),0)</f>
        <v/>
      </c>
      <c r="S183" s="86">
        <f>IF(R183=1,SUM($R$100:R183),0)</f>
        <v/>
      </c>
      <c r="T183" s="86">
        <f>IFERROR(IF(AND(IFERROR(INDEX(Tbl案件[案件狀況],84),"")="已破獲未移送",IFERROR(INDEX(Tbl案件[查獲管轄],84),"")="本轄",IFERROR(INDEX(Tbl案件[歸屬年度],84),0)=(YEAR(今日)-1911)),1,0),0)</f>
        <v/>
      </c>
      <c r="U183" s="86">
        <f>IF(T183=1,SUM($T$100:T183),0)</f>
        <v/>
      </c>
    </row>
    <row r="184" hidden="1">
      <c r="Q184" s="86" t="n">
        <v>85</v>
      </c>
      <c r="R184" s="86">
        <f>IFERROR(IF(AND(IFERROR(INDEX(Tbl案件[案件狀況],85),"")="尚未偵破",IFERROR(INDEX(Tbl案件[發生管轄],85),"")="本轄",IFERROR(INDEX(Tbl案件[歸屬年度],85),0)=(YEAR(今日)-1911)),1,0),0)</f>
        <v/>
      </c>
      <c r="S184" s="86">
        <f>IF(R184=1,SUM($R$100:R184),0)</f>
        <v/>
      </c>
      <c r="T184" s="86">
        <f>IFERROR(IF(AND(IFERROR(INDEX(Tbl案件[案件狀況],85),"")="已破獲未移送",IFERROR(INDEX(Tbl案件[查獲管轄],85),"")="本轄",IFERROR(INDEX(Tbl案件[歸屬年度],85),0)=(YEAR(今日)-1911)),1,0),0)</f>
        <v/>
      </c>
      <c r="U184" s="86">
        <f>IF(T184=1,SUM($T$100:T184),0)</f>
        <v/>
      </c>
    </row>
    <row r="185" hidden="1">
      <c r="Q185" s="86" t="n">
        <v>86</v>
      </c>
      <c r="R185" s="86">
        <f>IFERROR(IF(AND(IFERROR(INDEX(Tbl案件[案件狀況],86),"")="尚未偵破",IFERROR(INDEX(Tbl案件[發生管轄],86),"")="本轄",IFERROR(INDEX(Tbl案件[歸屬年度],86),0)=(YEAR(今日)-1911)),1,0),0)</f>
        <v/>
      </c>
      <c r="S185" s="86">
        <f>IF(R185=1,SUM($R$100:R185),0)</f>
        <v/>
      </c>
      <c r="T185" s="86">
        <f>IFERROR(IF(AND(IFERROR(INDEX(Tbl案件[案件狀況],86),"")="已破獲未移送",IFERROR(INDEX(Tbl案件[查獲管轄],86),"")="本轄",IFERROR(INDEX(Tbl案件[歸屬年度],86),0)=(YEAR(今日)-1911)),1,0),0)</f>
        <v/>
      </c>
      <c r="U185" s="86">
        <f>IF(T185=1,SUM($T$100:T185),0)</f>
        <v/>
      </c>
    </row>
    <row r="186" hidden="1">
      <c r="Q186" s="86" t="n">
        <v>87</v>
      </c>
      <c r="R186" s="86">
        <f>IFERROR(IF(AND(IFERROR(INDEX(Tbl案件[案件狀況],87),"")="尚未偵破",IFERROR(INDEX(Tbl案件[發生管轄],87),"")="本轄",IFERROR(INDEX(Tbl案件[歸屬年度],87),0)=(YEAR(今日)-1911)),1,0),0)</f>
        <v/>
      </c>
      <c r="S186" s="86">
        <f>IF(R186=1,SUM($R$100:R186),0)</f>
        <v/>
      </c>
      <c r="T186" s="86">
        <f>IFERROR(IF(AND(IFERROR(INDEX(Tbl案件[案件狀況],87),"")="已破獲未移送",IFERROR(INDEX(Tbl案件[查獲管轄],87),"")="本轄",IFERROR(INDEX(Tbl案件[歸屬年度],87),0)=(YEAR(今日)-1911)),1,0),0)</f>
        <v/>
      </c>
      <c r="U186" s="86">
        <f>IF(T186=1,SUM($T$100:T186),0)</f>
        <v/>
      </c>
    </row>
    <row r="187" hidden="1">
      <c r="Q187" s="86" t="n">
        <v>88</v>
      </c>
      <c r="R187" s="86">
        <f>IFERROR(IF(AND(IFERROR(INDEX(Tbl案件[案件狀況],88),"")="尚未偵破",IFERROR(INDEX(Tbl案件[發生管轄],88),"")="本轄",IFERROR(INDEX(Tbl案件[歸屬年度],88),0)=(YEAR(今日)-1911)),1,0),0)</f>
        <v/>
      </c>
      <c r="S187" s="86">
        <f>IF(R187=1,SUM($R$100:R187),0)</f>
        <v/>
      </c>
      <c r="T187" s="86">
        <f>IFERROR(IF(AND(IFERROR(INDEX(Tbl案件[案件狀況],88),"")="已破獲未移送",IFERROR(INDEX(Tbl案件[查獲管轄],88),"")="本轄",IFERROR(INDEX(Tbl案件[歸屬年度],88),0)=(YEAR(今日)-1911)),1,0),0)</f>
        <v/>
      </c>
      <c r="U187" s="86">
        <f>IF(T187=1,SUM($T$100:T187),0)</f>
        <v/>
      </c>
    </row>
    <row r="188" hidden="1">
      <c r="Q188" s="86" t="n">
        <v>89</v>
      </c>
      <c r="R188" s="86">
        <f>IFERROR(IF(AND(IFERROR(INDEX(Tbl案件[案件狀況],89),"")="尚未偵破",IFERROR(INDEX(Tbl案件[發生管轄],89),"")="本轄",IFERROR(INDEX(Tbl案件[歸屬年度],89),0)=(YEAR(今日)-1911)),1,0),0)</f>
        <v/>
      </c>
      <c r="S188" s="86">
        <f>IF(R188=1,SUM($R$100:R188),0)</f>
        <v/>
      </c>
      <c r="T188" s="86">
        <f>IFERROR(IF(AND(IFERROR(INDEX(Tbl案件[案件狀況],89),"")="已破獲未移送",IFERROR(INDEX(Tbl案件[查獲管轄],89),"")="本轄",IFERROR(INDEX(Tbl案件[歸屬年度],89),0)=(YEAR(今日)-1911)),1,0),0)</f>
        <v/>
      </c>
      <c r="U188" s="86">
        <f>IF(T188=1,SUM($T$100:T188),0)</f>
        <v/>
      </c>
    </row>
    <row r="189" hidden="1">
      <c r="Q189" s="86" t="n">
        <v>90</v>
      </c>
      <c r="R189" s="86">
        <f>IFERROR(IF(AND(IFERROR(INDEX(Tbl案件[案件狀況],90),"")="尚未偵破",IFERROR(INDEX(Tbl案件[發生管轄],90),"")="本轄",IFERROR(INDEX(Tbl案件[歸屬年度],90),0)=(YEAR(今日)-1911)),1,0),0)</f>
        <v/>
      </c>
      <c r="S189" s="86">
        <f>IF(R189=1,SUM($R$100:R189),0)</f>
        <v/>
      </c>
      <c r="T189" s="86">
        <f>IFERROR(IF(AND(IFERROR(INDEX(Tbl案件[案件狀況],90),"")="已破獲未移送",IFERROR(INDEX(Tbl案件[查獲管轄],90),"")="本轄",IFERROR(INDEX(Tbl案件[歸屬年度],90),0)=(YEAR(今日)-1911)),1,0),0)</f>
        <v/>
      </c>
      <c r="U189" s="86">
        <f>IF(T189=1,SUM($T$100:T189),0)</f>
        <v/>
      </c>
    </row>
    <row r="190" hidden="1">
      <c r="Q190" s="86" t="n">
        <v>91</v>
      </c>
      <c r="R190" s="86">
        <f>IFERROR(IF(AND(IFERROR(INDEX(Tbl案件[案件狀況],91),"")="尚未偵破",IFERROR(INDEX(Tbl案件[發生管轄],91),"")="本轄",IFERROR(INDEX(Tbl案件[歸屬年度],91),0)=(YEAR(今日)-1911)),1,0),0)</f>
        <v/>
      </c>
      <c r="S190" s="86">
        <f>IF(R190=1,SUM($R$100:R190),0)</f>
        <v/>
      </c>
      <c r="T190" s="86">
        <f>IFERROR(IF(AND(IFERROR(INDEX(Tbl案件[案件狀況],91),"")="已破獲未移送",IFERROR(INDEX(Tbl案件[查獲管轄],91),"")="本轄",IFERROR(INDEX(Tbl案件[歸屬年度],91),0)=(YEAR(今日)-1911)),1,0),0)</f>
        <v/>
      </c>
      <c r="U190" s="86">
        <f>IF(T190=1,SUM($T$100:T190),0)</f>
        <v/>
      </c>
    </row>
    <row r="191" hidden="1">
      <c r="Q191" s="86" t="n">
        <v>92</v>
      </c>
      <c r="R191" s="86">
        <f>IFERROR(IF(AND(IFERROR(INDEX(Tbl案件[案件狀況],92),"")="尚未偵破",IFERROR(INDEX(Tbl案件[發生管轄],92),"")="本轄",IFERROR(INDEX(Tbl案件[歸屬年度],92),0)=(YEAR(今日)-1911)),1,0),0)</f>
        <v/>
      </c>
      <c r="S191" s="86">
        <f>IF(R191=1,SUM($R$100:R191),0)</f>
        <v/>
      </c>
      <c r="T191" s="86">
        <f>IFERROR(IF(AND(IFERROR(INDEX(Tbl案件[案件狀況],92),"")="已破獲未移送",IFERROR(INDEX(Tbl案件[查獲管轄],92),"")="本轄",IFERROR(INDEX(Tbl案件[歸屬年度],92),0)=(YEAR(今日)-1911)),1,0),0)</f>
        <v/>
      </c>
      <c r="U191" s="86">
        <f>IF(T191=1,SUM($T$100:T191),0)</f>
        <v/>
      </c>
    </row>
    <row r="192" hidden="1">
      <c r="Q192" s="86" t="n">
        <v>93</v>
      </c>
      <c r="R192" s="86">
        <f>IFERROR(IF(AND(IFERROR(INDEX(Tbl案件[案件狀況],93),"")="尚未偵破",IFERROR(INDEX(Tbl案件[發生管轄],93),"")="本轄",IFERROR(INDEX(Tbl案件[歸屬年度],93),0)=(YEAR(今日)-1911)),1,0),0)</f>
        <v/>
      </c>
      <c r="S192" s="86">
        <f>IF(R192=1,SUM($R$100:R192),0)</f>
        <v/>
      </c>
      <c r="T192" s="86">
        <f>IFERROR(IF(AND(IFERROR(INDEX(Tbl案件[案件狀況],93),"")="已破獲未移送",IFERROR(INDEX(Tbl案件[查獲管轄],93),"")="本轄",IFERROR(INDEX(Tbl案件[歸屬年度],93),0)=(YEAR(今日)-1911)),1,0),0)</f>
        <v/>
      </c>
      <c r="U192" s="86">
        <f>IF(T192=1,SUM($T$100:T192),0)</f>
        <v/>
      </c>
    </row>
    <row r="193" hidden="1">
      <c r="Q193" s="86" t="n">
        <v>94</v>
      </c>
      <c r="R193" s="86">
        <f>IFERROR(IF(AND(IFERROR(INDEX(Tbl案件[案件狀況],94),"")="尚未偵破",IFERROR(INDEX(Tbl案件[發生管轄],94),"")="本轄",IFERROR(INDEX(Tbl案件[歸屬年度],94),0)=(YEAR(今日)-1911)),1,0),0)</f>
        <v/>
      </c>
      <c r="S193" s="86">
        <f>IF(R193=1,SUM($R$100:R193),0)</f>
        <v/>
      </c>
      <c r="T193" s="86">
        <f>IFERROR(IF(AND(IFERROR(INDEX(Tbl案件[案件狀況],94),"")="已破獲未移送",IFERROR(INDEX(Tbl案件[查獲管轄],94),"")="本轄",IFERROR(INDEX(Tbl案件[歸屬年度],94),0)=(YEAR(今日)-1911)),1,0),0)</f>
        <v/>
      </c>
      <c r="U193" s="86">
        <f>IF(T193=1,SUM($T$100:T193),0)</f>
        <v/>
      </c>
    </row>
    <row r="194" hidden="1">
      <c r="Q194" s="86" t="n">
        <v>95</v>
      </c>
      <c r="R194" s="86">
        <f>IFERROR(IF(AND(IFERROR(INDEX(Tbl案件[案件狀況],95),"")="尚未偵破",IFERROR(INDEX(Tbl案件[發生管轄],95),"")="本轄",IFERROR(INDEX(Tbl案件[歸屬年度],95),0)=(YEAR(今日)-1911)),1,0),0)</f>
        <v/>
      </c>
      <c r="S194" s="86">
        <f>IF(R194=1,SUM($R$100:R194),0)</f>
        <v/>
      </c>
      <c r="T194" s="86">
        <f>IFERROR(IF(AND(IFERROR(INDEX(Tbl案件[案件狀況],95),"")="已破獲未移送",IFERROR(INDEX(Tbl案件[查獲管轄],95),"")="本轄",IFERROR(INDEX(Tbl案件[歸屬年度],95),0)=(YEAR(今日)-1911)),1,0),0)</f>
        <v/>
      </c>
      <c r="U194" s="86">
        <f>IF(T194=1,SUM($T$100:T194),0)</f>
        <v/>
      </c>
    </row>
    <row r="195" hidden="1">
      <c r="Q195" s="86" t="n">
        <v>96</v>
      </c>
      <c r="R195" s="86">
        <f>IFERROR(IF(AND(IFERROR(INDEX(Tbl案件[案件狀況],96),"")="尚未偵破",IFERROR(INDEX(Tbl案件[發生管轄],96),"")="本轄",IFERROR(INDEX(Tbl案件[歸屬年度],96),0)=(YEAR(今日)-1911)),1,0),0)</f>
        <v/>
      </c>
      <c r="S195" s="86">
        <f>IF(R195=1,SUM($R$100:R195),0)</f>
        <v/>
      </c>
      <c r="T195" s="86">
        <f>IFERROR(IF(AND(IFERROR(INDEX(Tbl案件[案件狀況],96),"")="已破獲未移送",IFERROR(INDEX(Tbl案件[查獲管轄],96),"")="本轄",IFERROR(INDEX(Tbl案件[歸屬年度],96),0)=(YEAR(今日)-1911)),1,0),0)</f>
        <v/>
      </c>
      <c r="U195" s="86">
        <f>IF(T195=1,SUM($T$100:T195),0)</f>
        <v/>
      </c>
    </row>
    <row r="196" hidden="1">
      <c r="Q196" s="86" t="n">
        <v>97</v>
      </c>
      <c r="R196" s="86">
        <f>IFERROR(IF(AND(IFERROR(INDEX(Tbl案件[案件狀況],97),"")="尚未偵破",IFERROR(INDEX(Tbl案件[發生管轄],97),"")="本轄",IFERROR(INDEX(Tbl案件[歸屬年度],97),0)=(YEAR(今日)-1911)),1,0),0)</f>
        <v/>
      </c>
      <c r="S196" s="86">
        <f>IF(R196=1,SUM($R$100:R196),0)</f>
        <v/>
      </c>
      <c r="T196" s="86">
        <f>IFERROR(IF(AND(IFERROR(INDEX(Tbl案件[案件狀況],97),"")="已破獲未移送",IFERROR(INDEX(Tbl案件[查獲管轄],97),"")="本轄",IFERROR(INDEX(Tbl案件[歸屬年度],97),0)=(YEAR(今日)-1911)),1,0),0)</f>
        <v/>
      </c>
      <c r="U196" s="86">
        <f>IF(T196=1,SUM($T$100:T196),0)</f>
        <v/>
      </c>
    </row>
    <row r="197" hidden="1">
      <c r="Q197" s="86" t="n">
        <v>98</v>
      </c>
      <c r="R197" s="86">
        <f>IFERROR(IF(AND(IFERROR(INDEX(Tbl案件[案件狀況],98),"")="尚未偵破",IFERROR(INDEX(Tbl案件[發生管轄],98),"")="本轄",IFERROR(INDEX(Tbl案件[歸屬年度],98),0)=(YEAR(今日)-1911)),1,0),0)</f>
        <v/>
      </c>
      <c r="S197" s="86">
        <f>IF(R197=1,SUM($R$100:R197),0)</f>
        <v/>
      </c>
      <c r="T197" s="86">
        <f>IFERROR(IF(AND(IFERROR(INDEX(Tbl案件[案件狀況],98),"")="已破獲未移送",IFERROR(INDEX(Tbl案件[查獲管轄],98),"")="本轄",IFERROR(INDEX(Tbl案件[歸屬年度],98),0)=(YEAR(今日)-1911)),1,0),0)</f>
        <v/>
      </c>
      <c r="U197" s="86">
        <f>IF(T197=1,SUM($T$100:T197),0)</f>
        <v/>
      </c>
    </row>
    <row r="198" hidden="1">
      <c r="Q198" s="86" t="n">
        <v>99</v>
      </c>
      <c r="R198" s="86">
        <f>IFERROR(IF(AND(IFERROR(INDEX(Tbl案件[案件狀況],99),"")="尚未偵破",IFERROR(INDEX(Tbl案件[發生管轄],99),"")="本轄",IFERROR(INDEX(Tbl案件[歸屬年度],99),0)=(YEAR(今日)-1911)),1,0),0)</f>
        <v/>
      </c>
      <c r="S198" s="86">
        <f>IF(R198=1,SUM($R$100:R198),0)</f>
        <v/>
      </c>
      <c r="T198" s="86">
        <f>IFERROR(IF(AND(IFERROR(INDEX(Tbl案件[案件狀況],99),"")="已破獲未移送",IFERROR(INDEX(Tbl案件[查獲管轄],99),"")="本轄",IFERROR(INDEX(Tbl案件[歸屬年度],99),0)=(YEAR(今日)-1911)),1,0),0)</f>
        <v/>
      </c>
      <c r="U198" s="86">
        <f>IF(T198=1,SUM($T$100:T198),0)</f>
        <v/>
      </c>
    </row>
    <row r="199" hidden="1">
      <c r="Q199" s="86" t="n">
        <v>100</v>
      </c>
      <c r="R199" s="86">
        <f>IFERROR(IF(AND(IFERROR(INDEX(Tbl案件[案件狀況],100),"")="尚未偵破",IFERROR(INDEX(Tbl案件[發生管轄],100),"")="本轄",IFERROR(INDEX(Tbl案件[歸屬年度],100),0)=(YEAR(今日)-1911)),1,0),0)</f>
        <v/>
      </c>
      <c r="S199" s="86">
        <f>IF(R199=1,SUM($R$100:R199),0)</f>
        <v/>
      </c>
      <c r="T199" s="86">
        <f>IFERROR(IF(AND(IFERROR(INDEX(Tbl案件[案件狀況],100),"")="已破獲未移送",IFERROR(INDEX(Tbl案件[查獲管轄],100),"")="本轄",IFERROR(INDEX(Tbl案件[歸屬年度],100),0)=(YEAR(今日)-1911)),1,0),0)</f>
        <v/>
      </c>
      <c r="U199" s="86">
        <f>IF(T199=1,SUM($T$100:T199),0)</f>
        <v/>
      </c>
    </row>
    <row r="200" hidden="1">
      <c r="Q200" s="86" t="n">
        <v>101</v>
      </c>
      <c r="R200" s="86">
        <f>IFERROR(IF(AND(IFERROR(INDEX(Tbl案件[案件狀況],101),"")="尚未偵破",IFERROR(INDEX(Tbl案件[發生管轄],101),"")="本轄",IFERROR(INDEX(Tbl案件[歸屬年度],101),0)=(YEAR(今日)-1911)),1,0),0)</f>
        <v/>
      </c>
      <c r="S200" s="86">
        <f>IF(R200=1,SUM($R$100:R200),0)</f>
        <v/>
      </c>
      <c r="T200" s="86">
        <f>IFERROR(IF(AND(IFERROR(INDEX(Tbl案件[案件狀況],101),"")="已破獲未移送",IFERROR(INDEX(Tbl案件[查獲管轄],101),"")="本轄",IFERROR(INDEX(Tbl案件[歸屬年度],101),0)=(YEAR(今日)-1911)),1,0),0)</f>
        <v/>
      </c>
      <c r="U200" s="86">
        <f>IF(T200=1,SUM($T$100:T200),0)</f>
        <v/>
      </c>
    </row>
    <row r="201" hidden="1">
      <c r="Q201" s="86" t="n">
        <v>102</v>
      </c>
      <c r="R201" s="86">
        <f>IFERROR(IF(AND(IFERROR(INDEX(Tbl案件[案件狀況],102),"")="尚未偵破",IFERROR(INDEX(Tbl案件[發生管轄],102),"")="本轄",IFERROR(INDEX(Tbl案件[歸屬年度],102),0)=(YEAR(今日)-1911)),1,0),0)</f>
        <v/>
      </c>
      <c r="S201" s="86">
        <f>IF(R201=1,SUM($R$100:R201),0)</f>
        <v/>
      </c>
      <c r="T201" s="86">
        <f>IFERROR(IF(AND(IFERROR(INDEX(Tbl案件[案件狀況],102),"")="已破獲未移送",IFERROR(INDEX(Tbl案件[查獲管轄],102),"")="本轄",IFERROR(INDEX(Tbl案件[歸屬年度],102),0)=(YEAR(今日)-1911)),1,0),0)</f>
        <v/>
      </c>
      <c r="U201" s="86">
        <f>IF(T201=1,SUM($T$100:T201),0)</f>
        <v/>
      </c>
    </row>
    <row r="202" hidden="1">
      <c r="Q202" s="86" t="n">
        <v>103</v>
      </c>
      <c r="R202" s="86">
        <f>IFERROR(IF(AND(IFERROR(INDEX(Tbl案件[案件狀況],103),"")="尚未偵破",IFERROR(INDEX(Tbl案件[發生管轄],103),"")="本轄",IFERROR(INDEX(Tbl案件[歸屬年度],103),0)=(YEAR(今日)-1911)),1,0),0)</f>
        <v/>
      </c>
      <c r="S202" s="86">
        <f>IF(R202=1,SUM($R$100:R202),0)</f>
        <v/>
      </c>
      <c r="T202" s="86">
        <f>IFERROR(IF(AND(IFERROR(INDEX(Tbl案件[案件狀況],103),"")="已破獲未移送",IFERROR(INDEX(Tbl案件[查獲管轄],103),"")="本轄",IFERROR(INDEX(Tbl案件[歸屬年度],103),0)=(YEAR(今日)-1911)),1,0),0)</f>
        <v/>
      </c>
      <c r="U202" s="86">
        <f>IF(T202=1,SUM($T$100:T202),0)</f>
        <v/>
      </c>
    </row>
    <row r="203" hidden="1">
      <c r="Q203" s="86" t="n">
        <v>104</v>
      </c>
      <c r="R203" s="86">
        <f>IFERROR(IF(AND(IFERROR(INDEX(Tbl案件[案件狀況],104),"")="尚未偵破",IFERROR(INDEX(Tbl案件[發生管轄],104),"")="本轄",IFERROR(INDEX(Tbl案件[歸屬年度],104),0)=(YEAR(今日)-1911)),1,0),0)</f>
        <v/>
      </c>
      <c r="S203" s="86">
        <f>IF(R203=1,SUM($R$100:R203),0)</f>
        <v/>
      </c>
      <c r="T203" s="86">
        <f>IFERROR(IF(AND(IFERROR(INDEX(Tbl案件[案件狀況],104),"")="已破獲未移送",IFERROR(INDEX(Tbl案件[查獲管轄],104),"")="本轄",IFERROR(INDEX(Tbl案件[歸屬年度],104),0)=(YEAR(今日)-1911)),1,0),0)</f>
        <v/>
      </c>
      <c r="U203" s="86">
        <f>IF(T203=1,SUM($T$100:T203),0)</f>
        <v/>
      </c>
    </row>
    <row r="204" hidden="1">
      <c r="Q204" s="86" t="n">
        <v>105</v>
      </c>
      <c r="R204" s="86">
        <f>IFERROR(IF(AND(IFERROR(INDEX(Tbl案件[案件狀況],105),"")="尚未偵破",IFERROR(INDEX(Tbl案件[發生管轄],105),"")="本轄",IFERROR(INDEX(Tbl案件[歸屬年度],105),0)=(YEAR(今日)-1911)),1,0),0)</f>
        <v/>
      </c>
      <c r="S204" s="86">
        <f>IF(R204=1,SUM($R$100:R204),0)</f>
        <v/>
      </c>
      <c r="T204" s="86">
        <f>IFERROR(IF(AND(IFERROR(INDEX(Tbl案件[案件狀況],105),"")="已破獲未移送",IFERROR(INDEX(Tbl案件[查獲管轄],105),"")="本轄",IFERROR(INDEX(Tbl案件[歸屬年度],105),0)=(YEAR(今日)-1911)),1,0),0)</f>
        <v/>
      </c>
      <c r="U204" s="86">
        <f>IF(T204=1,SUM($T$100:T204),0)</f>
        <v/>
      </c>
    </row>
    <row r="205" hidden="1">
      <c r="Q205" s="86" t="n">
        <v>106</v>
      </c>
      <c r="R205" s="86">
        <f>IFERROR(IF(AND(IFERROR(INDEX(Tbl案件[案件狀況],106),"")="尚未偵破",IFERROR(INDEX(Tbl案件[發生管轄],106),"")="本轄",IFERROR(INDEX(Tbl案件[歸屬年度],106),0)=(YEAR(今日)-1911)),1,0),0)</f>
        <v/>
      </c>
      <c r="S205" s="86">
        <f>IF(R205=1,SUM($R$100:R205),0)</f>
        <v/>
      </c>
      <c r="T205" s="86">
        <f>IFERROR(IF(AND(IFERROR(INDEX(Tbl案件[案件狀況],106),"")="已破獲未移送",IFERROR(INDEX(Tbl案件[查獲管轄],106),"")="本轄",IFERROR(INDEX(Tbl案件[歸屬年度],106),0)=(YEAR(今日)-1911)),1,0),0)</f>
        <v/>
      </c>
      <c r="U205" s="86">
        <f>IF(T205=1,SUM($T$100:T205),0)</f>
        <v/>
      </c>
    </row>
    <row r="206" hidden="1">
      <c r="Q206" s="86" t="n">
        <v>107</v>
      </c>
      <c r="R206" s="86">
        <f>IFERROR(IF(AND(IFERROR(INDEX(Tbl案件[案件狀況],107),"")="尚未偵破",IFERROR(INDEX(Tbl案件[發生管轄],107),"")="本轄",IFERROR(INDEX(Tbl案件[歸屬年度],107),0)=(YEAR(今日)-1911)),1,0),0)</f>
        <v/>
      </c>
      <c r="S206" s="86">
        <f>IF(R206=1,SUM($R$100:R206),0)</f>
        <v/>
      </c>
      <c r="T206" s="86">
        <f>IFERROR(IF(AND(IFERROR(INDEX(Tbl案件[案件狀況],107),"")="已破獲未移送",IFERROR(INDEX(Tbl案件[查獲管轄],107),"")="本轄",IFERROR(INDEX(Tbl案件[歸屬年度],107),0)=(YEAR(今日)-1911)),1,0),0)</f>
        <v/>
      </c>
      <c r="U206" s="86">
        <f>IF(T206=1,SUM($T$100:T206),0)</f>
        <v/>
      </c>
    </row>
    <row r="207" hidden="1">
      <c r="Q207" s="86" t="n">
        <v>108</v>
      </c>
      <c r="R207" s="86">
        <f>IFERROR(IF(AND(IFERROR(INDEX(Tbl案件[案件狀況],108),"")="尚未偵破",IFERROR(INDEX(Tbl案件[發生管轄],108),"")="本轄",IFERROR(INDEX(Tbl案件[歸屬年度],108),0)=(YEAR(今日)-1911)),1,0),0)</f>
        <v/>
      </c>
      <c r="S207" s="86">
        <f>IF(R207=1,SUM($R$100:R207),0)</f>
        <v/>
      </c>
      <c r="T207" s="86">
        <f>IFERROR(IF(AND(IFERROR(INDEX(Tbl案件[案件狀況],108),"")="已破獲未移送",IFERROR(INDEX(Tbl案件[查獲管轄],108),"")="本轄",IFERROR(INDEX(Tbl案件[歸屬年度],108),0)=(YEAR(今日)-1911)),1,0),0)</f>
        <v/>
      </c>
      <c r="U207" s="86">
        <f>IF(T207=1,SUM($T$100:T207),0)</f>
        <v/>
      </c>
    </row>
    <row r="208" hidden="1">
      <c r="Q208" s="86" t="n">
        <v>109</v>
      </c>
      <c r="R208" s="86">
        <f>IFERROR(IF(AND(IFERROR(INDEX(Tbl案件[案件狀況],109),"")="尚未偵破",IFERROR(INDEX(Tbl案件[發生管轄],109),"")="本轄",IFERROR(INDEX(Tbl案件[歸屬年度],109),0)=(YEAR(今日)-1911)),1,0),0)</f>
        <v/>
      </c>
      <c r="S208" s="86">
        <f>IF(R208=1,SUM($R$100:R208),0)</f>
        <v/>
      </c>
      <c r="T208" s="86">
        <f>IFERROR(IF(AND(IFERROR(INDEX(Tbl案件[案件狀況],109),"")="已破獲未移送",IFERROR(INDEX(Tbl案件[查獲管轄],109),"")="本轄",IFERROR(INDEX(Tbl案件[歸屬年度],109),0)=(YEAR(今日)-1911)),1,0),0)</f>
        <v/>
      </c>
      <c r="U208" s="86">
        <f>IF(T208=1,SUM($T$100:T208),0)</f>
        <v/>
      </c>
    </row>
    <row r="209" hidden="1">
      <c r="Q209" s="86" t="n">
        <v>110</v>
      </c>
      <c r="R209" s="86">
        <f>IFERROR(IF(AND(IFERROR(INDEX(Tbl案件[案件狀況],110),"")="尚未偵破",IFERROR(INDEX(Tbl案件[發生管轄],110),"")="本轄",IFERROR(INDEX(Tbl案件[歸屬年度],110),0)=(YEAR(今日)-1911)),1,0),0)</f>
        <v/>
      </c>
      <c r="S209" s="86">
        <f>IF(R209=1,SUM($R$100:R209),0)</f>
        <v/>
      </c>
      <c r="T209" s="86">
        <f>IFERROR(IF(AND(IFERROR(INDEX(Tbl案件[案件狀況],110),"")="已破獲未移送",IFERROR(INDEX(Tbl案件[查獲管轄],110),"")="本轄",IFERROR(INDEX(Tbl案件[歸屬年度],110),0)=(YEAR(今日)-1911)),1,0),0)</f>
        <v/>
      </c>
      <c r="U209" s="86">
        <f>IF(T209=1,SUM($T$100:T209),0)</f>
        <v/>
      </c>
    </row>
    <row r="210" hidden="1">
      <c r="Q210" s="86" t="n">
        <v>111</v>
      </c>
      <c r="R210" s="86">
        <f>IFERROR(IF(AND(IFERROR(INDEX(Tbl案件[案件狀況],111),"")="尚未偵破",IFERROR(INDEX(Tbl案件[發生管轄],111),"")="本轄",IFERROR(INDEX(Tbl案件[歸屬年度],111),0)=(YEAR(今日)-1911)),1,0),0)</f>
        <v/>
      </c>
      <c r="S210" s="86">
        <f>IF(R210=1,SUM($R$100:R210),0)</f>
        <v/>
      </c>
      <c r="T210" s="86">
        <f>IFERROR(IF(AND(IFERROR(INDEX(Tbl案件[案件狀況],111),"")="已破獲未移送",IFERROR(INDEX(Tbl案件[查獲管轄],111),"")="本轄",IFERROR(INDEX(Tbl案件[歸屬年度],111),0)=(YEAR(今日)-1911)),1,0),0)</f>
        <v/>
      </c>
      <c r="U210" s="86">
        <f>IF(T210=1,SUM($T$100:T210),0)</f>
        <v/>
      </c>
    </row>
    <row r="211" hidden="1">
      <c r="Q211" s="86" t="n">
        <v>112</v>
      </c>
      <c r="R211" s="86">
        <f>IFERROR(IF(AND(IFERROR(INDEX(Tbl案件[案件狀況],112),"")="尚未偵破",IFERROR(INDEX(Tbl案件[發生管轄],112),"")="本轄",IFERROR(INDEX(Tbl案件[歸屬年度],112),0)=(YEAR(今日)-1911)),1,0),0)</f>
        <v/>
      </c>
      <c r="S211" s="86">
        <f>IF(R211=1,SUM($R$100:R211),0)</f>
        <v/>
      </c>
      <c r="T211" s="86">
        <f>IFERROR(IF(AND(IFERROR(INDEX(Tbl案件[案件狀況],112),"")="已破獲未移送",IFERROR(INDEX(Tbl案件[查獲管轄],112),"")="本轄",IFERROR(INDEX(Tbl案件[歸屬年度],112),0)=(YEAR(今日)-1911)),1,0),0)</f>
        <v/>
      </c>
      <c r="U211" s="86">
        <f>IF(T211=1,SUM($T$100:T211),0)</f>
        <v/>
      </c>
    </row>
    <row r="212" hidden="1">
      <c r="Q212" s="86" t="n">
        <v>113</v>
      </c>
      <c r="R212" s="86">
        <f>IFERROR(IF(AND(IFERROR(INDEX(Tbl案件[案件狀況],113),"")="尚未偵破",IFERROR(INDEX(Tbl案件[發生管轄],113),"")="本轄",IFERROR(INDEX(Tbl案件[歸屬年度],113),0)=(YEAR(今日)-1911)),1,0),0)</f>
        <v/>
      </c>
      <c r="S212" s="86">
        <f>IF(R212=1,SUM($R$100:R212),0)</f>
        <v/>
      </c>
      <c r="T212" s="86">
        <f>IFERROR(IF(AND(IFERROR(INDEX(Tbl案件[案件狀況],113),"")="已破獲未移送",IFERROR(INDEX(Tbl案件[查獲管轄],113),"")="本轄",IFERROR(INDEX(Tbl案件[歸屬年度],113),0)=(YEAR(今日)-1911)),1,0),0)</f>
        <v/>
      </c>
      <c r="U212" s="86">
        <f>IF(T212=1,SUM($T$100:T212),0)</f>
        <v/>
      </c>
    </row>
    <row r="213" hidden="1">
      <c r="Q213" s="86" t="n">
        <v>114</v>
      </c>
      <c r="R213" s="86">
        <f>IFERROR(IF(AND(IFERROR(INDEX(Tbl案件[案件狀況],114),"")="尚未偵破",IFERROR(INDEX(Tbl案件[發生管轄],114),"")="本轄",IFERROR(INDEX(Tbl案件[歸屬年度],114),0)=(YEAR(今日)-1911)),1,0),0)</f>
        <v/>
      </c>
      <c r="S213" s="86">
        <f>IF(R213=1,SUM($R$100:R213),0)</f>
        <v/>
      </c>
      <c r="T213" s="86">
        <f>IFERROR(IF(AND(IFERROR(INDEX(Tbl案件[案件狀況],114),"")="已破獲未移送",IFERROR(INDEX(Tbl案件[查獲管轄],114),"")="本轄",IFERROR(INDEX(Tbl案件[歸屬年度],114),0)=(YEAR(今日)-1911)),1,0),0)</f>
        <v/>
      </c>
      <c r="U213" s="86">
        <f>IF(T213=1,SUM($T$100:T213),0)</f>
        <v/>
      </c>
    </row>
    <row r="214" hidden="1">
      <c r="Q214" s="86" t="n">
        <v>115</v>
      </c>
      <c r="R214" s="86">
        <f>IFERROR(IF(AND(IFERROR(INDEX(Tbl案件[案件狀況],115),"")="尚未偵破",IFERROR(INDEX(Tbl案件[發生管轄],115),"")="本轄",IFERROR(INDEX(Tbl案件[歸屬年度],115),0)=(YEAR(今日)-1911)),1,0),0)</f>
        <v/>
      </c>
      <c r="S214" s="86">
        <f>IF(R214=1,SUM($R$100:R214),0)</f>
        <v/>
      </c>
      <c r="T214" s="86">
        <f>IFERROR(IF(AND(IFERROR(INDEX(Tbl案件[案件狀況],115),"")="已破獲未移送",IFERROR(INDEX(Tbl案件[查獲管轄],115),"")="本轄",IFERROR(INDEX(Tbl案件[歸屬年度],115),0)=(YEAR(今日)-1911)),1,0),0)</f>
        <v/>
      </c>
      <c r="U214" s="86">
        <f>IF(T214=1,SUM($T$100:T214),0)</f>
        <v/>
      </c>
    </row>
    <row r="215" hidden="1">
      <c r="Q215" s="86" t="n">
        <v>116</v>
      </c>
      <c r="R215" s="86">
        <f>IFERROR(IF(AND(IFERROR(INDEX(Tbl案件[案件狀況],116),"")="尚未偵破",IFERROR(INDEX(Tbl案件[發生管轄],116),"")="本轄",IFERROR(INDEX(Tbl案件[歸屬年度],116),0)=(YEAR(今日)-1911)),1,0),0)</f>
        <v/>
      </c>
      <c r="S215" s="86">
        <f>IF(R215=1,SUM($R$100:R215),0)</f>
        <v/>
      </c>
      <c r="T215" s="86">
        <f>IFERROR(IF(AND(IFERROR(INDEX(Tbl案件[案件狀況],116),"")="已破獲未移送",IFERROR(INDEX(Tbl案件[查獲管轄],116),"")="本轄",IFERROR(INDEX(Tbl案件[歸屬年度],116),0)=(YEAR(今日)-1911)),1,0),0)</f>
        <v/>
      </c>
      <c r="U215" s="86">
        <f>IF(T215=1,SUM($T$100:T215),0)</f>
        <v/>
      </c>
    </row>
    <row r="216" hidden="1">
      <c r="Q216" s="86" t="n">
        <v>117</v>
      </c>
      <c r="R216" s="86">
        <f>IFERROR(IF(AND(IFERROR(INDEX(Tbl案件[案件狀況],117),"")="尚未偵破",IFERROR(INDEX(Tbl案件[發生管轄],117),"")="本轄",IFERROR(INDEX(Tbl案件[歸屬年度],117),0)=(YEAR(今日)-1911)),1,0),0)</f>
        <v/>
      </c>
      <c r="S216" s="86">
        <f>IF(R216=1,SUM($R$100:R216),0)</f>
        <v/>
      </c>
      <c r="T216" s="86">
        <f>IFERROR(IF(AND(IFERROR(INDEX(Tbl案件[案件狀況],117),"")="已破獲未移送",IFERROR(INDEX(Tbl案件[查獲管轄],117),"")="本轄",IFERROR(INDEX(Tbl案件[歸屬年度],117),0)=(YEAR(今日)-1911)),1,0),0)</f>
        <v/>
      </c>
      <c r="U216" s="86">
        <f>IF(T216=1,SUM($T$100:T216),0)</f>
        <v/>
      </c>
    </row>
    <row r="217" hidden="1">
      <c r="Q217" s="86" t="n">
        <v>118</v>
      </c>
      <c r="R217" s="86">
        <f>IFERROR(IF(AND(IFERROR(INDEX(Tbl案件[案件狀況],118),"")="尚未偵破",IFERROR(INDEX(Tbl案件[發生管轄],118),"")="本轄",IFERROR(INDEX(Tbl案件[歸屬年度],118),0)=(YEAR(今日)-1911)),1,0),0)</f>
        <v/>
      </c>
      <c r="S217" s="86">
        <f>IF(R217=1,SUM($R$100:R217),0)</f>
        <v/>
      </c>
      <c r="T217" s="86">
        <f>IFERROR(IF(AND(IFERROR(INDEX(Tbl案件[案件狀況],118),"")="已破獲未移送",IFERROR(INDEX(Tbl案件[查獲管轄],118),"")="本轄",IFERROR(INDEX(Tbl案件[歸屬年度],118),0)=(YEAR(今日)-1911)),1,0),0)</f>
        <v/>
      </c>
      <c r="U217" s="86">
        <f>IF(T217=1,SUM($T$100:T217),0)</f>
        <v/>
      </c>
    </row>
    <row r="218" hidden="1">
      <c r="Q218" s="86" t="n">
        <v>119</v>
      </c>
      <c r="R218" s="86">
        <f>IFERROR(IF(AND(IFERROR(INDEX(Tbl案件[案件狀況],119),"")="尚未偵破",IFERROR(INDEX(Tbl案件[發生管轄],119),"")="本轄",IFERROR(INDEX(Tbl案件[歸屬年度],119),0)=(YEAR(今日)-1911)),1,0),0)</f>
        <v/>
      </c>
      <c r="S218" s="86">
        <f>IF(R218=1,SUM($R$100:R218),0)</f>
        <v/>
      </c>
      <c r="T218" s="86">
        <f>IFERROR(IF(AND(IFERROR(INDEX(Tbl案件[案件狀況],119),"")="已破獲未移送",IFERROR(INDEX(Tbl案件[查獲管轄],119),"")="本轄",IFERROR(INDEX(Tbl案件[歸屬年度],119),0)=(YEAR(今日)-1911)),1,0),0)</f>
        <v/>
      </c>
      <c r="U218" s="86">
        <f>IF(T218=1,SUM($T$100:T218),0)</f>
        <v/>
      </c>
    </row>
    <row r="219" hidden="1">
      <c r="Q219" s="86" t="n">
        <v>120</v>
      </c>
      <c r="R219" s="86">
        <f>IFERROR(IF(AND(IFERROR(INDEX(Tbl案件[案件狀況],120),"")="尚未偵破",IFERROR(INDEX(Tbl案件[發生管轄],120),"")="本轄",IFERROR(INDEX(Tbl案件[歸屬年度],120),0)=(YEAR(今日)-1911)),1,0),0)</f>
        <v/>
      </c>
      <c r="S219" s="86">
        <f>IF(R219=1,SUM($R$100:R219),0)</f>
        <v/>
      </c>
      <c r="T219" s="86">
        <f>IFERROR(IF(AND(IFERROR(INDEX(Tbl案件[案件狀況],120),"")="已破獲未移送",IFERROR(INDEX(Tbl案件[查獲管轄],120),"")="本轄",IFERROR(INDEX(Tbl案件[歸屬年度],120),0)=(YEAR(今日)-1911)),1,0),0)</f>
        <v/>
      </c>
      <c r="U219" s="86">
        <f>IF(T219=1,SUM($T$100:T219),0)</f>
        <v/>
      </c>
    </row>
    <row r="220" hidden="1">
      <c r="Q220" s="86" t="n">
        <v>121</v>
      </c>
      <c r="R220" s="86">
        <f>IFERROR(IF(AND(IFERROR(INDEX(Tbl案件[案件狀況],121),"")="尚未偵破",IFERROR(INDEX(Tbl案件[發生管轄],121),"")="本轄",IFERROR(INDEX(Tbl案件[歸屬年度],121),0)=(YEAR(今日)-1911)),1,0),0)</f>
        <v/>
      </c>
      <c r="S220" s="86">
        <f>IF(R220=1,SUM($R$100:R220),0)</f>
        <v/>
      </c>
      <c r="T220" s="86">
        <f>IFERROR(IF(AND(IFERROR(INDEX(Tbl案件[案件狀況],121),"")="已破獲未移送",IFERROR(INDEX(Tbl案件[查獲管轄],121),"")="本轄",IFERROR(INDEX(Tbl案件[歸屬年度],121),0)=(YEAR(今日)-1911)),1,0),0)</f>
        <v/>
      </c>
      <c r="U220" s="86">
        <f>IF(T220=1,SUM($T$100:T220),0)</f>
        <v/>
      </c>
    </row>
    <row r="221" hidden="1">
      <c r="Q221" s="86" t="n">
        <v>122</v>
      </c>
      <c r="R221" s="86">
        <f>IFERROR(IF(AND(IFERROR(INDEX(Tbl案件[案件狀況],122),"")="尚未偵破",IFERROR(INDEX(Tbl案件[發生管轄],122),"")="本轄",IFERROR(INDEX(Tbl案件[歸屬年度],122),0)=(YEAR(今日)-1911)),1,0),0)</f>
        <v/>
      </c>
      <c r="S221" s="86">
        <f>IF(R221=1,SUM($R$100:R221),0)</f>
        <v/>
      </c>
      <c r="T221" s="86">
        <f>IFERROR(IF(AND(IFERROR(INDEX(Tbl案件[案件狀況],122),"")="已破獲未移送",IFERROR(INDEX(Tbl案件[查獲管轄],122),"")="本轄",IFERROR(INDEX(Tbl案件[歸屬年度],122),0)=(YEAR(今日)-1911)),1,0),0)</f>
        <v/>
      </c>
      <c r="U221" s="86">
        <f>IF(T221=1,SUM($T$100:T221),0)</f>
        <v/>
      </c>
    </row>
    <row r="222" hidden="1">
      <c r="Q222" s="86" t="n">
        <v>123</v>
      </c>
      <c r="R222" s="86">
        <f>IFERROR(IF(AND(IFERROR(INDEX(Tbl案件[案件狀況],123),"")="尚未偵破",IFERROR(INDEX(Tbl案件[發生管轄],123),"")="本轄",IFERROR(INDEX(Tbl案件[歸屬年度],123),0)=(YEAR(今日)-1911)),1,0),0)</f>
        <v/>
      </c>
      <c r="S222" s="86">
        <f>IF(R222=1,SUM($R$100:R222),0)</f>
        <v/>
      </c>
      <c r="T222" s="86">
        <f>IFERROR(IF(AND(IFERROR(INDEX(Tbl案件[案件狀況],123),"")="已破獲未移送",IFERROR(INDEX(Tbl案件[查獲管轄],123),"")="本轄",IFERROR(INDEX(Tbl案件[歸屬年度],123),0)=(YEAR(今日)-1911)),1,0),0)</f>
        <v/>
      </c>
      <c r="U222" s="86">
        <f>IF(T222=1,SUM($T$100:T222),0)</f>
        <v/>
      </c>
    </row>
    <row r="223" hidden="1">
      <c r="Q223" s="86" t="n">
        <v>124</v>
      </c>
      <c r="R223" s="86">
        <f>IFERROR(IF(AND(IFERROR(INDEX(Tbl案件[案件狀況],124),"")="尚未偵破",IFERROR(INDEX(Tbl案件[發生管轄],124),"")="本轄",IFERROR(INDEX(Tbl案件[歸屬年度],124),0)=(YEAR(今日)-1911)),1,0),0)</f>
        <v/>
      </c>
      <c r="S223" s="86">
        <f>IF(R223=1,SUM($R$100:R223),0)</f>
        <v/>
      </c>
      <c r="T223" s="86">
        <f>IFERROR(IF(AND(IFERROR(INDEX(Tbl案件[案件狀況],124),"")="已破獲未移送",IFERROR(INDEX(Tbl案件[查獲管轄],124),"")="本轄",IFERROR(INDEX(Tbl案件[歸屬年度],124),0)=(YEAR(今日)-1911)),1,0),0)</f>
        <v/>
      </c>
      <c r="U223" s="86">
        <f>IF(T223=1,SUM($T$100:T223),0)</f>
        <v/>
      </c>
    </row>
    <row r="224" hidden="1">
      <c r="Q224" s="86" t="n">
        <v>125</v>
      </c>
      <c r="R224" s="86">
        <f>IFERROR(IF(AND(IFERROR(INDEX(Tbl案件[案件狀況],125),"")="尚未偵破",IFERROR(INDEX(Tbl案件[發生管轄],125),"")="本轄",IFERROR(INDEX(Tbl案件[歸屬年度],125),0)=(YEAR(今日)-1911)),1,0),0)</f>
        <v/>
      </c>
      <c r="S224" s="86">
        <f>IF(R224=1,SUM($R$100:R224),0)</f>
        <v/>
      </c>
      <c r="T224" s="86">
        <f>IFERROR(IF(AND(IFERROR(INDEX(Tbl案件[案件狀況],125),"")="已破獲未移送",IFERROR(INDEX(Tbl案件[查獲管轄],125),"")="本轄",IFERROR(INDEX(Tbl案件[歸屬年度],125),0)=(YEAR(今日)-1911)),1,0),0)</f>
        <v/>
      </c>
      <c r="U224" s="86">
        <f>IF(T224=1,SUM($T$100:T224),0)</f>
        <v/>
      </c>
    </row>
    <row r="225" hidden="1">
      <c r="Q225" s="86" t="n">
        <v>126</v>
      </c>
      <c r="R225" s="86">
        <f>IFERROR(IF(AND(IFERROR(INDEX(Tbl案件[案件狀況],126),"")="尚未偵破",IFERROR(INDEX(Tbl案件[發生管轄],126),"")="本轄",IFERROR(INDEX(Tbl案件[歸屬年度],126),0)=(YEAR(今日)-1911)),1,0),0)</f>
        <v/>
      </c>
      <c r="S225" s="86">
        <f>IF(R225=1,SUM($R$100:R225),0)</f>
        <v/>
      </c>
      <c r="T225" s="86">
        <f>IFERROR(IF(AND(IFERROR(INDEX(Tbl案件[案件狀況],126),"")="已破獲未移送",IFERROR(INDEX(Tbl案件[查獲管轄],126),"")="本轄",IFERROR(INDEX(Tbl案件[歸屬年度],126),0)=(YEAR(今日)-1911)),1,0),0)</f>
        <v/>
      </c>
      <c r="U225" s="86">
        <f>IF(T225=1,SUM($T$100:T225),0)</f>
        <v/>
      </c>
    </row>
    <row r="226" hidden="1">
      <c r="Q226" s="86" t="n">
        <v>127</v>
      </c>
      <c r="R226" s="86">
        <f>IFERROR(IF(AND(IFERROR(INDEX(Tbl案件[案件狀況],127),"")="尚未偵破",IFERROR(INDEX(Tbl案件[發生管轄],127),"")="本轄",IFERROR(INDEX(Tbl案件[歸屬年度],127),0)=(YEAR(今日)-1911)),1,0),0)</f>
        <v/>
      </c>
      <c r="S226" s="86">
        <f>IF(R226=1,SUM($R$100:R226),0)</f>
        <v/>
      </c>
      <c r="T226" s="86">
        <f>IFERROR(IF(AND(IFERROR(INDEX(Tbl案件[案件狀況],127),"")="已破獲未移送",IFERROR(INDEX(Tbl案件[查獲管轄],127),"")="本轄",IFERROR(INDEX(Tbl案件[歸屬年度],127),0)=(YEAR(今日)-1911)),1,0),0)</f>
        <v/>
      </c>
      <c r="U226" s="86">
        <f>IF(T226=1,SUM($T$100:T226),0)</f>
        <v/>
      </c>
    </row>
    <row r="227" hidden="1">
      <c r="Q227" s="86" t="n">
        <v>128</v>
      </c>
      <c r="R227" s="86">
        <f>IFERROR(IF(AND(IFERROR(INDEX(Tbl案件[案件狀況],128),"")="尚未偵破",IFERROR(INDEX(Tbl案件[發生管轄],128),"")="本轄",IFERROR(INDEX(Tbl案件[歸屬年度],128),0)=(YEAR(今日)-1911)),1,0),0)</f>
        <v/>
      </c>
      <c r="S227" s="86">
        <f>IF(R227=1,SUM($R$100:R227),0)</f>
        <v/>
      </c>
      <c r="T227" s="86">
        <f>IFERROR(IF(AND(IFERROR(INDEX(Tbl案件[案件狀況],128),"")="已破獲未移送",IFERROR(INDEX(Tbl案件[查獲管轄],128),"")="本轄",IFERROR(INDEX(Tbl案件[歸屬年度],128),0)=(YEAR(今日)-1911)),1,0),0)</f>
        <v/>
      </c>
      <c r="U227" s="86">
        <f>IF(T227=1,SUM($T$100:T227),0)</f>
        <v/>
      </c>
    </row>
    <row r="228" hidden="1">
      <c r="Q228" s="86" t="n">
        <v>129</v>
      </c>
      <c r="R228" s="86">
        <f>IFERROR(IF(AND(IFERROR(INDEX(Tbl案件[案件狀況],129),"")="尚未偵破",IFERROR(INDEX(Tbl案件[發生管轄],129),"")="本轄",IFERROR(INDEX(Tbl案件[歸屬年度],129),0)=(YEAR(今日)-1911)),1,0),0)</f>
        <v/>
      </c>
      <c r="S228" s="86">
        <f>IF(R228=1,SUM($R$100:R228),0)</f>
        <v/>
      </c>
      <c r="T228" s="86">
        <f>IFERROR(IF(AND(IFERROR(INDEX(Tbl案件[案件狀況],129),"")="已破獲未移送",IFERROR(INDEX(Tbl案件[查獲管轄],129),"")="本轄",IFERROR(INDEX(Tbl案件[歸屬年度],129),0)=(YEAR(今日)-1911)),1,0),0)</f>
        <v/>
      </c>
      <c r="U228" s="86">
        <f>IF(T228=1,SUM($T$100:T228),0)</f>
        <v/>
      </c>
    </row>
    <row r="229" hidden="1">
      <c r="Q229" s="86" t="n">
        <v>130</v>
      </c>
      <c r="R229" s="86">
        <f>IFERROR(IF(AND(IFERROR(INDEX(Tbl案件[案件狀況],130),"")="尚未偵破",IFERROR(INDEX(Tbl案件[發生管轄],130),"")="本轄",IFERROR(INDEX(Tbl案件[歸屬年度],130),0)=(YEAR(今日)-1911)),1,0),0)</f>
        <v/>
      </c>
      <c r="S229" s="86">
        <f>IF(R229=1,SUM($R$100:R229),0)</f>
        <v/>
      </c>
      <c r="T229" s="86">
        <f>IFERROR(IF(AND(IFERROR(INDEX(Tbl案件[案件狀況],130),"")="已破獲未移送",IFERROR(INDEX(Tbl案件[查獲管轄],130),"")="本轄",IFERROR(INDEX(Tbl案件[歸屬年度],130),0)=(YEAR(今日)-1911)),1,0),0)</f>
        <v/>
      </c>
      <c r="U229" s="86">
        <f>IF(T229=1,SUM($T$100:T229),0)</f>
        <v/>
      </c>
    </row>
    <row r="230" hidden="1">
      <c r="Q230" s="86" t="n">
        <v>131</v>
      </c>
      <c r="R230" s="86">
        <f>IFERROR(IF(AND(IFERROR(INDEX(Tbl案件[案件狀況],131),"")="尚未偵破",IFERROR(INDEX(Tbl案件[發生管轄],131),"")="本轄",IFERROR(INDEX(Tbl案件[歸屬年度],131),0)=(YEAR(今日)-1911)),1,0),0)</f>
        <v/>
      </c>
      <c r="S230" s="86">
        <f>IF(R230=1,SUM($R$100:R230),0)</f>
        <v/>
      </c>
      <c r="T230" s="86">
        <f>IFERROR(IF(AND(IFERROR(INDEX(Tbl案件[案件狀況],131),"")="已破獲未移送",IFERROR(INDEX(Tbl案件[查獲管轄],131),"")="本轄",IFERROR(INDEX(Tbl案件[歸屬年度],131),0)=(YEAR(今日)-1911)),1,0),0)</f>
        <v/>
      </c>
      <c r="U230" s="86">
        <f>IF(T230=1,SUM($T$100:T230),0)</f>
        <v/>
      </c>
    </row>
    <row r="231" hidden="1">
      <c r="Q231" s="86" t="n">
        <v>132</v>
      </c>
      <c r="R231" s="86">
        <f>IFERROR(IF(AND(IFERROR(INDEX(Tbl案件[案件狀況],132),"")="尚未偵破",IFERROR(INDEX(Tbl案件[發生管轄],132),"")="本轄",IFERROR(INDEX(Tbl案件[歸屬年度],132),0)=(YEAR(今日)-1911)),1,0),0)</f>
        <v/>
      </c>
      <c r="S231" s="86">
        <f>IF(R231=1,SUM($R$100:R231),0)</f>
        <v/>
      </c>
      <c r="T231" s="86">
        <f>IFERROR(IF(AND(IFERROR(INDEX(Tbl案件[案件狀況],132),"")="已破獲未移送",IFERROR(INDEX(Tbl案件[查獲管轄],132),"")="本轄",IFERROR(INDEX(Tbl案件[歸屬年度],132),0)=(YEAR(今日)-1911)),1,0),0)</f>
        <v/>
      </c>
      <c r="U231" s="86">
        <f>IF(T231=1,SUM($T$100:T231),0)</f>
        <v/>
      </c>
    </row>
    <row r="232" hidden="1">
      <c r="Q232" s="86" t="n">
        <v>133</v>
      </c>
      <c r="R232" s="86">
        <f>IFERROR(IF(AND(IFERROR(INDEX(Tbl案件[案件狀況],133),"")="尚未偵破",IFERROR(INDEX(Tbl案件[發生管轄],133),"")="本轄",IFERROR(INDEX(Tbl案件[歸屬年度],133),0)=(YEAR(今日)-1911)),1,0),0)</f>
        <v/>
      </c>
      <c r="S232" s="86">
        <f>IF(R232=1,SUM($R$100:R232),0)</f>
        <v/>
      </c>
      <c r="T232" s="86">
        <f>IFERROR(IF(AND(IFERROR(INDEX(Tbl案件[案件狀況],133),"")="已破獲未移送",IFERROR(INDEX(Tbl案件[查獲管轄],133),"")="本轄",IFERROR(INDEX(Tbl案件[歸屬年度],133),0)=(YEAR(今日)-1911)),1,0),0)</f>
        <v/>
      </c>
      <c r="U232" s="86">
        <f>IF(T232=1,SUM($T$100:T232),0)</f>
        <v/>
      </c>
    </row>
    <row r="233" hidden="1">
      <c r="Q233" s="86" t="n">
        <v>134</v>
      </c>
      <c r="R233" s="86">
        <f>IFERROR(IF(AND(IFERROR(INDEX(Tbl案件[案件狀況],134),"")="尚未偵破",IFERROR(INDEX(Tbl案件[發生管轄],134),"")="本轄",IFERROR(INDEX(Tbl案件[歸屬年度],134),0)=(YEAR(今日)-1911)),1,0),0)</f>
        <v/>
      </c>
      <c r="S233" s="86">
        <f>IF(R233=1,SUM($R$100:R233),0)</f>
        <v/>
      </c>
      <c r="T233" s="86">
        <f>IFERROR(IF(AND(IFERROR(INDEX(Tbl案件[案件狀況],134),"")="已破獲未移送",IFERROR(INDEX(Tbl案件[查獲管轄],134),"")="本轄",IFERROR(INDEX(Tbl案件[歸屬年度],134),0)=(YEAR(今日)-1911)),1,0),0)</f>
        <v/>
      </c>
      <c r="U233" s="86">
        <f>IF(T233=1,SUM($T$100:T233),0)</f>
        <v/>
      </c>
    </row>
    <row r="234" hidden="1">
      <c r="Q234" s="86" t="n">
        <v>135</v>
      </c>
      <c r="R234" s="86">
        <f>IFERROR(IF(AND(IFERROR(INDEX(Tbl案件[案件狀況],135),"")="尚未偵破",IFERROR(INDEX(Tbl案件[發生管轄],135),"")="本轄",IFERROR(INDEX(Tbl案件[歸屬年度],135),0)=(YEAR(今日)-1911)),1,0),0)</f>
        <v/>
      </c>
      <c r="S234" s="86">
        <f>IF(R234=1,SUM($R$100:R234),0)</f>
        <v/>
      </c>
      <c r="T234" s="86">
        <f>IFERROR(IF(AND(IFERROR(INDEX(Tbl案件[案件狀況],135),"")="已破獲未移送",IFERROR(INDEX(Tbl案件[查獲管轄],135),"")="本轄",IFERROR(INDEX(Tbl案件[歸屬年度],135),0)=(YEAR(今日)-1911)),1,0),0)</f>
        <v/>
      </c>
      <c r="U234" s="86">
        <f>IF(T234=1,SUM($T$100:T234),0)</f>
        <v/>
      </c>
    </row>
    <row r="235" hidden="1">
      <c r="Q235" s="86" t="n">
        <v>136</v>
      </c>
      <c r="R235" s="86">
        <f>IFERROR(IF(AND(IFERROR(INDEX(Tbl案件[案件狀況],136),"")="尚未偵破",IFERROR(INDEX(Tbl案件[發生管轄],136),"")="本轄",IFERROR(INDEX(Tbl案件[歸屬年度],136),0)=(YEAR(今日)-1911)),1,0),0)</f>
        <v/>
      </c>
      <c r="S235" s="86">
        <f>IF(R235=1,SUM($R$100:R235),0)</f>
        <v/>
      </c>
      <c r="T235" s="86">
        <f>IFERROR(IF(AND(IFERROR(INDEX(Tbl案件[案件狀況],136),"")="已破獲未移送",IFERROR(INDEX(Tbl案件[查獲管轄],136),"")="本轄",IFERROR(INDEX(Tbl案件[歸屬年度],136),0)=(YEAR(今日)-1911)),1,0),0)</f>
        <v/>
      </c>
      <c r="U235" s="86">
        <f>IF(T235=1,SUM($T$100:T235),0)</f>
        <v/>
      </c>
    </row>
    <row r="236" hidden="1">
      <c r="Q236" s="86" t="n">
        <v>137</v>
      </c>
      <c r="R236" s="86">
        <f>IFERROR(IF(AND(IFERROR(INDEX(Tbl案件[案件狀況],137),"")="尚未偵破",IFERROR(INDEX(Tbl案件[發生管轄],137),"")="本轄",IFERROR(INDEX(Tbl案件[歸屬年度],137),0)=(YEAR(今日)-1911)),1,0),0)</f>
        <v/>
      </c>
      <c r="S236" s="86">
        <f>IF(R236=1,SUM($R$100:R236),0)</f>
        <v/>
      </c>
      <c r="T236" s="86">
        <f>IFERROR(IF(AND(IFERROR(INDEX(Tbl案件[案件狀況],137),"")="已破獲未移送",IFERROR(INDEX(Tbl案件[查獲管轄],137),"")="本轄",IFERROR(INDEX(Tbl案件[歸屬年度],137),0)=(YEAR(今日)-1911)),1,0),0)</f>
        <v/>
      </c>
      <c r="U236" s="86">
        <f>IF(T236=1,SUM($T$100:T236),0)</f>
        <v/>
      </c>
    </row>
    <row r="237" hidden="1">
      <c r="Q237" s="86" t="n">
        <v>138</v>
      </c>
      <c r="R237" s="86">
        <f>IFERROR(IF(AND(IFERROR(INDEX(Tbl案件[案件狀況],138),"")="尚未偵破",IFERROR(INDEX(Tbl案件[發生管轄],138),"")="本轄",IFERROR(INDEX(Tbl案件[歸屬年度],138),0)=(YEAR(今日)-1911)),1,0),0)</f>
        <v/>
      </c>
      <c r="S237" s="86">
        <f>IF(R237=1,SUM($R$100:R237),0)</f>
        <v/>
      </c>
      <c r="T237" s="86">
        <f>IFERROR(IF(AND(IFERROR(INDEX(Tbl案件[案件狀況],138),"")="已破獲未移送",IFERROR(INDEX(Tbl案件[查獲管轄],138),"")="本轄",IFERROR(INDEX(Tbl案件[歸屬年度],138),0)=(YEAR(今日)-1911)),1,0),0)</f>
        <v/>
      </c>
      <c r="U237" s="86">
        <f>IF(T237=1,SUM($T$100:T237),0)</f>
        <v/>
      </c>
    </row>
    <row r="238" hidden="1">
      <c r="Q238" s="86" t="n">
        <v>139</v>
      </c>
      <c r="R238" s="86">
        <f>IFERROR(IF(AND(IFERROR(INDEX(Tbl案件[案件狀況],139),"")="尚未偵破",IFERROR(INDEX(Tbl案件[發生管轄],139),"")="本轄",IFERROR(INDEX(Tbl案件[歸屬年度],139),0)=(YEAR(今日)-1911)),1,0),0)</f>
        <v/>
      </c>
      <c r="S238" s="86">
        <f>IF(R238=1,SUM($R$100:R238),0)</f>
        <v/>
      </c>
      <c r="T238" s="86">
        <f>IFERROR(IF(AND(IFERROR(INDEX(Tbl案件[案件狀況],139),"")="已破獲未移送",IFERROR(INDEX(Tbl案件[查獲管轄],139),"")="本轄",IFERROR(INDEX(Tbl案件[歸屬年度],139),0)=(YEAR(今日)-1911)),1,0),0)</f>
        <v/>
      </c>
      <c r="U238" s="86">
        <f>IF(T238=1,SUM($T$100:T238),0)</f>
        <v/>
      </c>
    </row>
    <row r="239" hidden="1">
      <c r="Q239" s="86" t="n">
        <v>140</v>
      </c>
      <c r="R239" s="86">
        <f>IFERROR(IF(AND(IFERROR(INDEX(Tbl案件[案件狀況],140),"")="尚未偵破",IFERROR(INDEX(Tbl案件[發生管轄],140),"")="本轄",IFERROR(INDEX(Tbl案件[歸屬年度],140),0)=(YEAR(今日)-1911)),1,0),0)</f>
        <v/>
      </c>
      <c r="S239" s="86">
        <f>IF(R239=1,SUM($R$100:R239),0)</f>
        <v/>
      </c>
      <c r="T239" s="86">
        <f>IFERROR(IF(AND(IFERROR(INDEX(Tbl案件[案件狀況],140),"")="已破獲未移送",IFERROR(INDEX(Tbl案件[查獲管轄],140),"")="本轄",IFERROR(INDEX(Tbl案件[歸屬年度],140),0)=(YEAR(今日)-1911)),1,0),0)</f>
        <v/>
      </c>
      <c r="U239" s="86">
        <f>IF(T239=1,SUM($T$100:T239),0)</f>
        <v/>
      </c>
    </row>
    <row r="240" hidden="1">
      <c r="Q240" s="86" t="n">
        <v>141</v>
      </c>
      <c r="R240" s="86">
        <f>IFERROR(IF(AND(IFERROR(INDEX(Tbl案件[案件狀況],141),"")="尚未偵破",IFERROR(INDEX(Tbl案件[發生管轄],141),"")="本轄",IFERROR(INDEX(Tbl案件[歸屬年度],141),0)=(YEAR(今日)-1911)),1,0),0)</f>
        <v/>
      </c>
      <c r="S240" s="86">
        <f>IF(R240=1,SUM($R$100:R240),0)</f>
        <v/>
      </c>
      <c r="T240" s="86">
        <f>IFERROR(IF(AND(IFERROR(INDEX(Tbl案件[案件狀況],141),"")="已破獲未移送",IFERROR(INDEX(Tbl案件[查獲管轄],141),"")="本轄",IFERROR(INDEX(Tbl案件[歸屬年度],141),0)=(YEAR(今日)-1911)),1,0),0)</f>
        <v/>
      </c>
      <c r="U240" s="86">
        <f>IF(T240=1,SUM($T$100:T240),0)</f>
        <v/>
      </c>
    </row>
    <row r="241" hidden="1">
      <c r="Q241" s="86" t="n">
        <v>142</v>
      </c>
      <c r="R241" s="86">
        <f>IFERROR(IF(AND(IFERROR(INDEX(Tbl案件[案件狀況],142),"")="尚未偵破",IFERROR(INDEX(Tbl案件[發生管轄],142),"")="本轄",IFERROR(INDEX(Tbl案件[歸屬年度],142),0)=(YEAR(今日)-1911)),1,0),0)</f>
        <v/>
      </c>
      <c r="S241" s="86">
        <f>IF(R241=1,SUM($R$100:R241),0)</f>
        <v/>
      </c>
      <c r="T241" s="86">
        <f>IFERROR(IF(AND(IFERROR(INDEX(Tbl案件[案件狀況],142),"")="已破獲未移送",IFERROR(INDEX(Tbl案件[查獲管轄],142),"")="本轄",IFERROR(INDEX(Tbl案件[歸屬年度],142),0)=(YEAR(今日)-1911)),1,0),0)</f>
        <v/>
      </c>
      <c r="U241" s="86">
        <f>IF(T241=1,SUM($T$100:T241),0)</f>
        <v/>
      </c>
    </row>
    <row r="242" hidden="1">
      <c r="Q242" s="86" t="n">
        <v>143</v>
      </c>
      <c r="R242" s="86">
        <f>IFERROR(IF(AND(IFERROR(INDEX(Tbl案件[案件狀況],143),"")="尚未偵破",IFERROR(INDEX(Tbl案件[發生管轄],143),"")="本轄",IFERROR(INDEX(Tbl案件[歸屬年度],143),0)=(YEAR(今日)-1911)),1,0),0)</f>
        <v/>
      </c>
      <c r="S242" s="86">
        <f>IF(R242=1,SUM($R$100:R242),0)</f>
        <v/>
      </c>
      <c r="T242" s="86">
        <f>IFERROR(IF(AND(IFERROR(INDEX(Tbl案件[案件狀況],143),"")="已破獲未移送",IFERROR(INDEX(Tbl案件[查獲管轄],143),"")="本轄",IFERROR(INDEX(Tbl案件[歸屬年度],143),0)=(YEAR(今日)-1911)),1,0),0)</f>
        <v/>
      </c>
      <c r="U242" s="86">
        <f>IF(T242=1,SUM($T$100:T242),0)</f>
        <v/>
      </c>
    </row>
    <row r="243" hidden="1">
      <c r="Q243" s="86" t="n">
        <v>144</v>
      </c>
      <c r="R243" s="86">
        <f>IFERROR(IF(AND(IFERROR(INDEX(Tbl案件[案件狀況],144),"")="尚未偵破",IFERROR(INDEX(Tbl案件[發生管轄],144),"")="本轄",IFERROR(INDEX(Tbl案件[歸屬年度],144),0)=(YEAR(今日)-1911)),1,0),0)</f>
        <v/>
      </c>
      <c r="S243" s="86">
        <f>IF(R243=1,SUM($R$100:R243),0)</f>
        <v/>
      </c>
      <c r="T243" s="86">
        <f>IFERROR(IF(AND(IFERROR(INDEX(Tbl案件[案件狀況],144),"")="已破獲未移送",IFERROR(INDEX(Tbl案件[查獲管轄],144),"")="本轄",IFERROR(INDEX(Tbl案件[歸屬年度],144),0)=(YEAR(今日)-1911)),1,0),0)</f>
        <v/>
      </c>
      <c r="U243" s="86">
        <f>IF(T243=1,SUM($T$100:T243),0)</f>
        <v/>
      </c>
    </row>
    <row r="244" hidden="1">
      <c r="Q244" s="86" t="n">
        <v>145</v>
      </c>
      <c r="R244" s="86">
        <f>IFERROR(IF(AND(IFERROR(INDEX(Tbl案件[案件狀況],145),"")="尚未偵破",IFERROR(INDEX(Tbl案件[發生管轄],145),"")="本轄",IFERROR(INDEX(Tbl案件[歸屬年度],145),0)=(YEAR(今日)-1911)),1,0),0)</f>
        <v/>
      </c>
      <c r="S244" s="86">
        <f>IF(R244=1,SUM($R$100:R244),0)</f>
        <v/>
      </c>
      <c r="T244" s="86">
        <f>IFERROR(IF(AND(IFERROR(INDEX(Tbl案件[案件狀況],145),"")="已破獲未移送",IFERROR(INDEX(Tbl案件[查獲管轄],145),"")="本轄",IFERROR(INDEX(Tbl案件[歸屬年度],145),0)=(YEAR(今日)-1911)),1,0),0)</f>
        <v/>
      </c>
      <c r="U244" s="86">
        <f>IF(T244=1,SUM($T$100:T244),0)</f>
        <v/>
      </c>
    </row>
    <row r="245" hidden="1">
      <c r="Q245" s="86" t="n">
        <v>146</v>
      </c>
      <c r="R245" s="86">
        <f>IFERROR(IF(AND(IFERROR(INDEX(Tbl案件[案件狀況],146),"")="尚未偵破",IFERROR(INDEX(Tbl案件[發生管轄],146),"")="本轄",IFERROR(INDEX(Tbl案件[歸屬年度],146),0)=(YEAR(今日)-1911)),1,0),0)</f>
        <v/>
      </c>
      <c r="S245" s="86">
        <f>IF(R245=1,SUM($R$100:R245),0)</f>
        <v/>
      </c>
      <c r="T245" s="86">
        <f>IFERROR(IF(AND(IFERROR(INDEX(Tbl案件[案件狀況],146),"")="已破獲未移送",IFERROR(INDEX(Tbl案件[查獲管轄],146),"")="本轄",IFERROR(INDEX(Tbl案件[歸屬年度],146),0)=(YEAR(今日)-1911)),1,0),0)</f>
        <v/>
      </c>
      <c r="U245" s="86">
        <f>IF(T245=1,SUM($T$100:T245),0)</f>
        <v/>
      </c>
    </row>
    <row r="246" hidden="1">
      <c r="Q246" s="86" t="n">
        <v>147</v>
      </c>
      <c r="R246" s="86">
        <f>IFERROR(IF(AND(IFERROR(INDEX(Tbl案件[案件狀況],147),"")="尚未偵破",IFERROR(INDEX(Tbl案件[發生管轄],147),"")="本轄",IFERROR(INDEX(Tbl案件[歸屬年度],147),0)=(YEAR(今日)-1911)),1,0),0)</f>
        <v/>
      </c>
      <c r="S246" s="86">
        <f>IF(R246=1,SUM($R$100:R246),0)</f>
        <v/>
      </c>
      <c r="T246" s="86">
        <f>IFERROR(IF(AND(IFERROR(INDEX(Tbl案件[案件狀況],147),"")="已破獲未移送",IFERROR(INDEX(Tbl案件[查獲管轄],147),"")="本轄",IFERROR(INDEX(Tbl案件[歸屬年度],147),0)=(YEAR(今日)-1911)),1,0),0)</f>
        <v/>
      </c>
      <c r="U246" s="86">
        <f>IF(T246=1,SUM($T$100:T246),0)</f>
        <v/>
      </c>
    </row>
    <row r="247" hidden="1">
      <c r="Q247" s="86" t="n">
        <v>148</v>
      </c>
      <c r="R247" s="86">
        <f>IFERROR(IF(AND(IFERROR(INDEX(Tbl案件[案件狀況],148),"")="尚未偵破",IFERROR(INDEX(Tbl案件[發生管轄],148),"")="本轄",IFERROR(INDEX(Tbl案件[歸屬年度],148),0)=(YEAR(今日)-1911)),1,0),0)</f>
        <v/>
      </c>
      <c r="S247" s="86">
        <f>IF(R247=1,SUM($R$100:R247),0)</f>
        <v/>
      </c>
      <c r="T247" s="86">
        <f>IFERROR(IF(AND(IFERROR(INDEX(Tbl案件[案件狀況],148),"")="已破獲未移送",IFERROR(INDEX(Tbl案件[查獲管轄],148),"")="本轄",IFERROR(INDEX(Tbl案件[歸屬年度],148),0)=(YEAR(今日)-1911)),1,0),0)</f>
        <v/>
      </c>
      <c r="U247" s="86">
        <f>IF(T247=1,SUM($T$100:T247),0)</f>
        <v/>
      </c>
    </row>
    <row r="248" hidden="1">
      <c r="Q248" s="86" t="n">
        <v>149</v>
      </c>
      <c r="R248" s="86">
        <f>IFERROR(IF(AND(IFERROR(INDEX(Tbl案件[案件狀況],149),"")="尚未偵破",IFERROR(INDEX(Tbl案件[發生管轄],149),"")="本轄",IFERROR(INDEX(Tbl案件[歸屬年度],149),0)=(YEAR(今日)-1911)),1,0),0)</f>
        <v/>
      </c>
      <c r="S248" s="86">
        <f>IF(R248=1,SUM($R$100:R248),0)</f>
        <v/>
      </c>
      <c r="T248" s="86">
        <f>IFERROR(IF(AND(IFERROR(INDEX(Tbl案件[案件狀況],149),"")="已破獲未移送",IFERROR(INDEX(Tbl案件[查獲管轄],149),"")="本轄",IFERROR(INDEX(Tbl案件[歸屬年度],149),0)=(YEAR(今日)-1911)),1,0),0)</f>
        <v/>
      </c>
      <c r="U248" s="86">
        <f>IF(T248=1,SUM($T$100:T248),0)</f>
        <v/>
      </c>
    </row>
    <row r="249" hidden="1">
      <c r="Q249" s="86" t="n">
        <v>150</v>
      </c>
      <c r="R249" s="86">
        <f>IFERROR(IF(AND(IFERROR(INDEX(Tbl案件[案件狀況],150),"")="尚未偵破",IFERROR(INDEX(Tbl案件[發生管轄],150),"")="本轄",IFERROR(INDEX(Tbl案件[歸屬年度],150),0)=(YEAR(今日)-1911)),1,0),0)</f>
        <v/>
      </c>
      <c r="S249" s="86">
        <f>IF(R249=1,SUM($R$100:R249),0)</f>
        <v/>
      </c>
      <c r="T249" s="86">
        <f>IFERROR(IF(AND(IFERROR(INDEX(Tbl案件[案件狀況],150),"")="已破獲未移送",IFERROR(INDEX(Tbl案件[查獲管轄],150),"")="本轄",IFERROR(INDEX(Tbl案件[歸屬年度],150),0)=(YEAR(今日)-1911)),1,0),0)</f>
        <v/>
      </c>
      <c r="U249" s="86">
        <f>IF(T249=1,SUM($T$100:T249),0)</f>
        <v/>
      </c>
    </row>
    <row r="250" hidden="1">
      <c r="Q250" s="86" t="n">
        <v>151</v>
      </c>
      <c r="R250" s="86">
        <f>IFERROR(IF(AND(IFERROR(INDEX(Tbl案件[案件狀況],151),"")="尚未偵破",IFERROR(INDEX(Tbl案件[發生管轄],151),"")="本轄",IFERROR(INDEX(Tbl案件[歸屬年度],151),0)=(YEAR(今日)-1911)),1,0),0)</f>
        <v/>
      </c>
      <c r="S250" s="86">
        <f>IF(R250=1,SUM($R$100:R250),0)</f>
        <v/>
      </c>
      <c r="T250" s="86">
        <f>IFERROR(IF(AND(IFERROR(INDEX(Tbl案件[案件狀況],151),"")="已破獲未移送",IFERROR(INDEX(Tbl案件[查獲管轄],151),"")="本轄",IFERROR(INDEX(Tbl案件[歸屬年度],151),0)=(YEAR(今日)-1911)),1,0),0)</f>
        <v/>
      </c>
      <c r="U250" s="86">
        <f>IF(T250=1,SUM($T$100:T250),0)</f>
        <v/>
      </c>
    </row>
    <row r="251" hidden="1">
      <c r="Q251" s="86" t="n">
        <v>152</v>
      </c>
      <c r="R251" s="86">
        <f>IFERROR(IF(AND(IFERROR(INDEX(Tbl案件[案件狀況],152),"")="尚未偵破",IFERROR(INDEX(Tbl案件[發生管轄],152),"")="本轄",IFERROR(INDEX(Tbl案件[歸屬年度],152),0)=(YEAR(今日)-1911)),1,0),0)</f>
        <v/>
      </c>
      <c r="S251" s="86">
        <f>IF(R251=1,SUM($R$100:R251),0)</f>
        <v/>
      </c>
      <c r="T251" s="86">
        <f>IFERROR(IF(AND(IFERROR(INDEX(Tbl案件[案件狀況],152),"")="已破獲未移送",IFERROR(INDEX(Tbl案件[查獲管轄],152),"")="本轄",IFERROR(INDEX(Tbl案件[歸屬年度],152),0)=(YEAR(今日)-1911)),1,0),0)</f>
        <v/>
      </c>
      <c r="U251" s="86">
        <f>IF(T251=1,SUM($T$100:T251),0)</f>
        <v/>
      </c>
    </row>
    <row r="252" hidden="1">
      <c r="Q252" s="86" t="n">
        <v>153</v>
      </c>
      <c r="R252" s="86">
        <f>IFERROR(IF(AND(IFERROR(INDEX(Tbl案件[案件狀況],153),"")="尚未偵破",IFERROR(INDEX(Tbl案件[發生管轄],153),"")="本轄",IFERROR(INDEX(Tbl案件[歸屬年度],153),0)=(YEAR(今日)-1911)),1,0),0)</f>
        <v/>
      </c>
      <c r="S252" s="86">
        <f>IF(R252=1,SUM($R$100:R252),0)</f>
        <v/>
      </c>
      <c r="T252" s="86">
        <f>IFERROR(IF(AND(IFERROR(INDEX(Tbl案件[案件狀況],153),"")="已破獲未移送",IFERROR(INDEX(Tbl案件[查獲管轄],153),"")="本轄",IFERROR(INDEX(Tbl案件[歸屬年度],153),0)=(YEAR(今日)-1911)),1,0),0)</f>
        <v/>
      </c>
      <c r="U252" s="86">
        <f>IF(T252=1,SUM($T$100:T252),0)</f>
        <v/>
      </c>
    </row>
    <row r="253" hidden="1">
      <c r="Q253" s="86" t="n">
        <v>154</v>
      </c>
      <c r="R253" s="86">
        <f>IFERROR(IF(AND(IFERROR(INDEX(Tbl案件[案件狀況],154),"")="尚未偵破",IFERROR(INDEX(Tbl案件[發生管轄],154),"")="本轄",IFERROR(INDEX(Tbl案件[歸屬年度],154),0)=(YEAR(今日)-1911)),1,0),0)</f>
        <v/>
      </c>
      <c r="S253" s="86">
        <f>IF(R253=1,SUM($R$100:R253),0)</f>
        <v/>
      </c>
      <c r="T253" s="86">
        <f>IFERROR(IF(AND(IFERROR(INDEX(Tbl案件[案件狀況],154),"")="已破獲未移送",IFERROR(INDEX(Tbl案件[查獲管轄],154),"")="本轄",IFERROR(INDEX(Tbl案件[歸屬年度],154),0)=(YEAR(今日)-1911)),1,0),0)</f>
        <v/>
      </c>
      <c r="U253" s="86">
        <f>IF(T253=1,SUM($T$100:T253),0)</f>
        <v/>
      </c>
    </row>
    <row r="254" hidden="1">
      <c r="Q254" s="86" t="n">
        <v>155</v>
      </c>
      <c r="R254" s="86">
        <f>IFERROR(IF(AND(IFERROR(INDEX(Tbl案件[案件狀況],155),"")="尚未偵破",IFERROR(INDEX(Tbl案件[發生管轄],155),"")="本轄",IFERROR(INDEX(Tbl案件[歸屬年度],155),0)=(YEAR(今日)-1911)),1,0),0)</f>
        <v/>
      </c>
      <c r="S254" s="86">
        <f>IF(R254=1,SUM($R$100:R254),0)</f>
        <v/>
      </c>
      <c r="T254" s="86">
        <f>IFERROR(IF(AND(IFERROR(INDEX(Tbl案件[案件狀況],155),"")="已破獲未移送",IFERROR(INDEX(Tbl案件[查獲管轄],155),"")="本轄",IFERROR(INDEX(Tbl案件[歸屬年度],155),0)=(YEAR(今日)-1911)),1,0),0)</f>
        <v/>
      </c>
      <c r="U254" s="86">
        <f>IF(T254=1,SUM($T$100:T254),0)</f>
        <v/>
      </c>
    </row>
    <row r="255" hidden="1">
      <c r="Q255" s="86" t="n">
        <v>156</v>
      </c>
      <c r="R255" s="86">
        <f>IFERROR(IF(AND(IFERROR(INDEX(Tbl案件[案件狀況],156),"")="尚未偵破",IFERROR(INDEX(Tbl案件[發生管轄],156),"")="本轄",IFERROR(INDEX(Tbl案件[歸屬年度],156),0)=(YEAR(今日)-1911)),1,0),0)</f>
        <v/>
      </c>
      <c r="S255" s="86">
        <f>IF(R255=1,SUM($R$100:R255),0)</f>
        <v/>
      </c>
      <c r="T255" s="86">
        <f>IFERROR(IF(AND(IFERROR(INDEX(Tbl案件[案件狀況],156),"")="已破獲未移送",IFERROR(INDEX(Tbl案件[查獲管轄],156),"")="本轄",IFERROR(INDEX(Tbl案件[歸屬年度],156),0)=(YEAR(今日)-1911)),1,0),0)</f>
        <v/>
      </c>
      <c r="U255" s="86">
        <f>IF(T255=1,SUM($T$100:T255),0)</f>
        <v/>
      </c>
    </row>
    <row r="256" hidden="1">
      <c r="Q256" s="86" t="n">
        <v>157</v>
      </c>
      <c r="R256" s="86">
        <f>IFERROR(IF(AND(IFERROR(INDEX(Tbl案件[案件狀況],157),"")="尚未偵破",IFERROR(INDEX(Tbl案件[發生管轄],157),"")="本轄",IFERROR(INDEX(Tbl案件[歸屬年度],157),0)=(YEAR(今日)-1911)),1,0),0)</f>
        <v/>
      </c>
      <c r="S256" s="86">
        <f>IF(R256=1,SUM($R$100:R256),0)</f>
        <v/>
      </c>
      <c r="T256" s="86">
        <f>IFERROR(IF(AND(IFERROR(INDEX(Tbl案件[案件狀況],157),"")="已破獲未移送",IFERROR(INDEX(Tbl案件[查獲管轄],157),"")="本轄",IFERROR(INDEX(Tbl案件[歸屬年度],157),0)=(YEAR(今日)-1911)),1,0),0)</f>
        <v/>
      </c>
      <c r="U256" s="86">
        <f>IF(T256=1,SUM($T$100:T256),0)</f>
        <v/>
      </c>
    </row>
    <row r="257" hidden="1">
      <c r="Q257" s="86" t="n">
        <v>158</v>
      </c>
      <c r="R257" s="86">
        <f>IFERROR(IF(AND(IFERROR(INDEX(Tbl案件[案件狀況],158),"")="尚未偵破",IFERROR(INDEX(Tbl案件[發生管轄],158),"")="本轄",IFERROR(INDEX(Tbl案件[歸屬年度],158),0)=(YEAR(今日)-1911)),1,0),0)</f>
        <v/>
      </c>
      <c r="S257" s="86">
        <f>IF(R257=1,SUM($R$100:R257),0)</f>
        <v/>
      </c>
      <c r="T257" s="86">
        <f>IFERROR(IF(AND(IFERROR(INDEX(Tbl案件[案件狀況],158),"")="已破獲未移送",IFERROR(INDEX(Tbl案件[查獲管轄],158),"")="本轄",IFERROR(INDEX(Tbl案件[歸屬年度],158),0)=(YEAR(今日)-1911)),1,0),0)</f>
        <v/>
      </c>
      <c r="U257" s="86">
        <f>IF(T257=1,SUM($T$100:T257),0)</f>
        <v/>
      </c>
    </row>
    <row r="258" hidden="1">
      <c r="Q258" s="86" t="n">
        <v>159</v>
      </c>
      <c r="R258" s="86">
        <f>IFERROR(IF(AND(IFERROR(INDEX(Tbl案件[案件狀況],159),"")="尚未偵破",IFERROR(INDEX(Tbl案件[發生管轄],159),"")="本轄",IFERROR(INDEX(Tbl案件[歸屬年度],159),0)=(YEAR(今日)-1911)),1,0),0)</f>
        <v/>
      </c>
      <c r="S258" s="86">
        <f>IF(R258=1,SUM($R$100:R258),0)</f>
        <v/>
      </c>
      <c r="T258" s="86">
        <f>IFERROR(IF(AND(IFERROR(INDEX(Tbl案件[案件狀況],159),"")="已破獲未移送",IFERROR(INDEX(Tbl案件[查獲管轄],159),"")="本轄",IFERROR(INDEX(Tbl案件[歸屬年度],159),0)=(YEAR(今日)-1911)),1,0),0)</f>
        <v/>
      </c>
      <c r="U258" s="86">
        <f>IF(T258=1,SUM($T$100:T258),0)</f>
        <v/>
      </c>
    </row>
    <row r="259" hidden="1">
      <c r="Q259" s="86" t="n">
        <v>160</v>
      </c>
      <c r="R259" s="86">
        <f>IFERROR(IF(AND(IFERROR(INDEX(Tbl案件[案件狀況],160),"")="尚未偵破",IFERROR(INDEX(Tbl案件[發生管轄],160),"")="本轄",IFERROR(INDEX(Tbl案件[歸屬年度],160),0)=(YEAR(今日)-1911)),1,0),0)</f>
        <v/>
      </c>
      <c r="S259" s="86">
        <f>IF(R259=1,SUM($R$100:R259),0)</f>
        <v/>
      </c>
      <c r="T259" s="86">
        <f>IFERROR(IF(AND(IFERROR(INDEX(Tbl案件[案件狀況],160),"")="已破獲未移送",IFERROR(INDEX(Tbl案件[查獲管轄],160),"")="本轄",IFERROR(INDEX(Tbl案件[歸屬年度],160),0)=(YEAR(今日)-1911)),1,0),0)</f>
        <v/>
      </c>
      <c r="U259" s="86">
        <f>IF(T259=1,SUM($T$100:T259),0)</f>
        <v/>
      </c>
    </row>
    <row r="260" hidden="1">
      <c r="Q260" s="86" t="n">
        <v>161</v>
      </c>
      <c r="R260" s="86">
        <f>IFERROR(IF(AND(IFERROR(INDEX(Tbl案件[案件狀況],161),"")="尚未偵破",IFERROR(INDEX(Tbl案件[發生管轄],161),"")="本轄",IFERROR(INDEX(Tbl案件[歸屬年度],161),0)=(YEAR(今日)-1911)),1,0),0)</f>
        <v/>
      </c>
      <c r="S260" s="86">
        <f>IF(R260=1,SUM($R$100:R260),0)</f>
        <v/>
      </c>
      <c r="T260" s="86">
        <f>IFERROR(IF(AND(IFERROR(INDEX(Tbl案件[案件狀況],161),"")="已破獲未移送",IFERROR(INDEX(Tbl案件[查獲管轄],161),"")="本轄",IFERROR(INDEX(Tbl案件[歸屬年度],161),0)=(YEAR(今日)-1911)),1,0),0)</f>
        <v/>
      </c>
      <c r="U260" s="86">
        <f>IF(T260=1,SUM($T$100:T260),0)</f>
        <v/>
      </c>
    </row>
    <row r="261" hidden="1">
      <c r="Q261" s="86" t="n">
        <v>162</v>
      </c>
      <c r="R261" s="86">
        <f>IFERROR(IF(AND(IFERROR(INDEX(Tbl案件[案件狀況],162),"")="尚未偵破",IFERROR(INDEX(Tbl案件[發生管轄],162),"")="本轄",IFERROR(INDEX(Tbl案件[歸屬年度],162),0)=(YEAR(今日)-1911)),1,0),0)</f>
        <v/>
      </c>
      <c r="S261" s="86">
        <f>IF(R261=1,SUM($R$100:R261),0)</f>
        <v/>
      </c>
      <c r="T261" s="86">
        <f>IFERROR(IF(AND(IFERROR(INDEX(Tbl案件[案件狀況],162),"")="已破獲未移送",IFERROR(INDEX(Tbl案件[查獲管轄],162),"")="本轄",IFERROR(INDEX(Tbl案件[歸屬年度],162),0)=(YEAR(今日)-1911)),1,0),0)</f>
        <v/>
      </c>
      <c r="U261" s="86">
        <f>IF(T261=1,SUM($T$100:T261),0)</f>
        <v/>
      </c>
    </row>
    <row r="262" hidden="1">
      <c r="Q262" s="86" t="n">
        <v>163</v>
      </c>
      <c r="R262" s="86">
        <f>IFERROR(IF(AND(IFERROR(INDEX(Tbl案件[案件狀況],163),"")="尚未偵破",IFERROR(INDEX(Tbl案件[發生管轄],163),"")="本轄",IFERROR(INDEX(Tbl案件[歸屬年度],163),0)=(YEAR(今日)-1911)),1,0),0)</f>
        <v/>
      </c>
      <c r="S262" s="86">
        <f>IF(R262=1,SUM($R$100:R262),0)</f>
        <v/>
      </c>
      <c r="T262" s="86">
        <f>IFERROR(IF(AND(IFERROR(INDEX(Tbl案件[案件狀況],163),"")="已破獲未移送",IFERROR(INDEX(Tbl案件[查獲管轄],163),"")="本轄",IFERROR(INDEX(Tbl案件[歸屬年度],163),0)=(YEAR(今日)-1911)),1,0),0)</f>
        <v/>
      </c>
      <c r="U262" s="86">
        <f>IF(T262=1,SUM($T$100:T262),0)</f>
        <v/>
      </c>
    </row>
    <row r="263" hidden="1">
      <c r="Q263" s="86" t="n">
        <v>164</v>
      </c>
      <c r="R263" s="86">
        <f>IFERROR(IF(AND(IFERROR(INDEX(Tbl案件[案件狀況],164),"")="尚未偵破",IFERROR(INDEX(Tbl案件[發生管轄],164),"")="本轄",IFERROR(INDEX(Tbl案件[歸屬年度],164),0)=(YEAR(今日)-1911)),1,0),0)</f>
        <v/>
      </c>
      <c r="S263" s="86">
        <f>IF(R263=1,SUM($R$100:R263),0)</f>
        <v/>
      </c>
      <c r="T263" s="86">
        <f>IFERROR(IF(AND(IFERROR(INDEX(Tbl案件[案件狀況],164),"")="已破獲未移送",IFERROR(INDEX(Tbl案件[查獲管轄],164),"")="本轄",IFERROR(INDEX(Tbl案件[歸屬年度],164),0)=(YEAR(今日)-1911)),1,0),0)</f>
        <v/>
      </c>
      <c r="U263" s="86">
        <f>IF(T263=1,SUM($T$100:T263),0)</f>
        <v/>
      </c>
    </row>
    <row r="264" hidden="1">
      <c r="Q264" s="86" t="n">
        <v>165</v>
      </c>
      <c r="R264" s="86">
        <f>IFERROR(IF(AND(IFERROR(INDEX(Tbl案件[案件狀況],165),"")="尚未偵破",IFERROR(INDEX(Tbl案件[發生管轄],165),"")="本轄",IFERROR(INDEX(Tbl案件[歸屬年度],165),0)=(YEAR(今日)-1911)),1,0),0)</f>
        <v/>
      </c>
      <c r="S264" s="86">
        <f>IF(R264=1,SUM($R$100:R264),0)</f>
        <v/>
      </c>
      <c r="T264" s="86">
        <f>IFERROR(IF(AND(IFERROR(INDEX(Tbl案件[案件狀況],165),"")="已破獲未移送",IFERROR(INDEX(Tbl案件[查獲管轄],165),"")="本轄",IFERROR(INDEX(Tbl案件[歸屬年度],165),0)=(YEAR(今日)-1911)),1,0),0)</f>
        <v/>
      </c>
      <c r="U264" s="86">
        <f>IF(T264=1,SUM($T$100:T264),0)</f>
        <v/>
      </c>
    </row>
    <row r="265" hidden="1">
      <c r="Q265" s="86" t="n">
        <v>166</v>
      </c>
      <c r="R265" s="86">
        <f>IFERROR(IF(AND(IFERROR(INDEX(Tbl案件[案件狀況],166),"")="尚未偵破",IFERROR(INDEX(Tbl案件[發生管轄],166),"")="本轄",IFERROR(INDEX(Tbl案件[歸屬年度],166),0)=(YEAR(今日)-1911)),1,0),0)</f>
        <v/>
      </c>
      <c r="S265" s="86">
        <f>IF(R265=1,SUM($R$100:R265),0)</f>
        <v/>
      </c>
      <c r="T265" s="86">
        <f>IFERROR(IF(AND(IFERROR(INDEX(Tbl案件[案件狀況],166),"")="已破獲未移送",IFERROR(INDEX(Tbl案件[查獲管轄],166),"")="本轄",IFERROR(INDEX(Tbl案件[歸屬年度],166),0)=(YEAR(今日)-1911)),1,0),0)</f>
        <v/>
      </c>
      <c r="U265" s="86">
        <f>IF(T265=1,SUM($T$100:T265),0)</f>
        <v/>
      </c>
    </row>
    <row r="266" hidden="1">
      <c r="Q266" s="86" t="n">
        <v>167</v>
      </c>
      <c r="R266" s="86">
        <f>IFERROR(IF(AND(IFERROR(INDEX(Tbl案件[案件狀況],167),"")="尚未偵破",IFERROR(INDEX(Tbl案件[發生管轄],167),"")="本轄",IFERROR(INDEX(Tbl案件[歸屬年度],167),0)=(YEAR(今日)-1911)),1,0),0)</f>
        <v/>
      </c>
      <c r="S266" s="86">
        <f>IF(R266=1,SUM($R$100:R266),0)</f>
        <v/>
      </c>
      <c r="T266" s="86">
        <f>IFERROR(IF(AND(IFERROR(INDEX(Tbl案件[案件狀況],167),"")="已破獲未移送",IFERROR(INDEX(Tbl案件[查獲管轄],167),"")="本轄",IFERROR(INDEX(Tbl案件[歸屬年度],167),0)=(YEAR(今日)-1911)),1,0),0)</f>
        <v/>
      </c>
      <c r="U266" s="86">
        <f>IF(T266=1,SUM($T$100:T266),0)</f>
        <v/>
      </c>
    </row>
    <row r="267" hidden="1">
      <c r="Q267" s="86" t="n">
        <v>168</v>
      </c>
      <c r="R267" s="86">
        <f>IFERROR(IF(AND(IFERROR(INDEX(Tbl案件[案件狀況],168),"")="尚未偵破",IFERROR(INDEX(Tbl案件[發生管轄],168),"")="本轄",IFERROR(INDEX(Tbl案件[歸屬年度],168),0)=(YEAR(今日)-1911)),1,0),0)</f>
        <v/>
      </c>
      <c r="S267" s="86">
        <f>IF(R267=1,SUM($R$100:R267),0)</f>
        <v/>
      </c>
      <c r="T267" s="86">
        <f>IFERROR(IF(AND(IFERROR(INDEX(Tbl案件[案件狀況],168),"")="已破獲未移送",IFERROR(INDEX(Tbl案件[查獲管轄],168),"")="本轄",IFERROR(INDEX(Tbl案件[歸屬年度],168),0)=(YEAR(今日)-1911)),1,0),0)</f>
        <v/>
      </c>
      <c r="U267" s="86">
        <f>IF(T267=1,SUM($T$100:T267),0)</f>
        <v/>
      </c>
    </row>
    <row r="268" hidden="1">
      <c r="Q268" s="86" t="n">
        <v>169</v>
      </c>
      <c r="R268" s="86">
        <f>IFERROR(IF(AND(IFERROR(INDEX(Tbl案件[案件狀況],169),"")="尚未偵破",IFERROR(INDEX(Tbl案件[發生管轄],169),"")="本轄",IFERROR(INDEX(Tbl案件[歸屬年度],169),0)=(YEAR(今日)-1911)),1,0),0)</f>
        <v/>
      </c>
      <c r="S268" s="86">
        <f>IF(R268=1,SUM($R$100:R268),0)</f>
        <v/>
      </c>
      <c r="T268" s="86">
        <f>IFERROR(IF(AND(IFERROR(INDEX(Tbl案件[案件狀況],169),"")="已破獲未移送",IFERROR(INDEX(Tbl案件[查獲管轄],169),"")="本轄",IFERROR(INDEX(Tbl案件[歸屬年度],169),0)=(YEAR(今日)-1911)),1,0),0)</f>
        <v/>
      </c>
      <c r="U268" s="86">
        <f>IF(T268=1,SUM($T$100:T268),0)</f>
        <v/>
      </c>
    </row>
    <row r="269" hidden="1">
      <c r="Q269" s="86" t="n">
        <v>170</v>
      </c>
      <c r="R269" s="86">
        <f>IFERROR(IF(AND(IFERROR(INDEX(Tbl案件[案件狀況],170),"")="尚未偵破",IFERROR(INDEX(Tbl案件[發生管轄],170),"")="本轄",IFERROR(INDEX(Tbl案件[歸屬年度],170),0)=(YEAR(今日)-1911)),1,0),0)</f>
        <v/>
      </c>
      <c r="S269" s="86">
        <f>IF(R269=1,SUM($R$100:R269),0)</f>
        <v/>
      </c>
      <c r="T269" s="86">
        <f>IFERROR(IF(AND(IFERROR(INDEX(Tbl案件[案件狀況],170),"")="已破獲未移送",IFERROR(INDEX(Tbl案件[查獲管轄],170),"")="本轄",IFERROR(INDEX(Tbl案件[歸屬年度],170),0)=(YEAR(今日)-1911)),1,0),0)</f>
        <v/>
      </c>
      <c r="U269" s="86">
        <f>IF(T269=1,SUM($T$100:T269),0)</f>
        <v/>
      </c>
    </row>
    <row r="270" hidden="1">
      <c r="Q270" s="86" t="n">
        <v>171</v>
      </c>
      <c r="R270" s="86">
        <f>IFERROR(IF(AND(IFERROR(INDEX(Tbl案件[案件狀況],171),"")="尚未偵破",IFERROR(INDEX(Tbl案件[發生管轄],171),"")="本轄",IFERROR(INDEX(Tbl案件[歸屬年度],171),0)=(YEAR(今日)-1911)),1,0),0)</f>
        <v/>
      </c>
      <c r="S270" s="86">
        <f>IF(R270=1,SUM($R$100:R270),0)</f>
        <v/>
      </c>
      <c r="T270" s="86">
        <f>IFERROR(IF(AND(IFERROR(INDEX(Tbl案件[案件狀況],171),"")="已破獲未移送",IFERROR(INDEX(Tbl案件[查獲管轄],171),"")="本轄",IFERROR(INDEX(Tbl案件[歸屬年度],171),0)=(YEAR(今日)-1911)),1,0),0)</f>
        <v/>
      </c>
      <c r="U270" s="86">
        <f>IF(T270=1,SUM($T$100:T270),0)</f>
        <v/>
      </c>
    </row>
    <row r="271" hidden="1">
      <c r="Q271" s="86" t="n">
        <v>172</v>
      </c>
      <c r="R271" s="86">
        <f>IFERROR(IF(AND(IFERROR(INDEX(Tbl案件[案件狀況],172),"")="尚未偵破",IFERROR(INDEX(Tbl案件[發生管轄],172),"")="本轄",IFERROR(INDEX(Tbl案件[歸屬年度],172),0)=(YEAR(今日)-1911)),1,0),0)</f>
        <v/>
      </c>
      <c r="S271" s="86">
        <f>IF(R271=1,SUM($R$100:R271),0)</f>
        <v/>
      </c>
      <c r="T271" s="86">
        <f>IFERROR(IF(AND(IFERROR(INDEX(Tbl案件[案件狀況],172),"")="已破獲未移送",IFERROR(INDEX(Tbl案件[查獲管轄],172),"")="本轄",IFERROR(INDEX(Tbl案件[歸屬年度],172),0)=(YEAR(今日)-1911)),1,0),0)</f>
        <v/>
      </c>
      <c r="U271" s="86">
        <f>IF(T271=1,SUM($T$100:T271),0)</f>
        <v/>
      </c>
    </row>
    <row r="272" hidden="1">
      <c r="Q272" s="86" t="n">
        <v>173</v>
      </c>
      <c r="R272" s="86">
        <f>IFERROR(IF(AND(IFERROR(INDEX(Tbl案件[案件狀況],173),"")="尚未偵破",IFERROR(INDEX(Tbl案件[發生管轄],173),"")="本轄",IFERROR(INDEX(Tbl案件[歸屬年度],173),0)=(YEAR(今日)-1911)),1,0),0)</f>
        <v/>
      </c>
      <c r="S272" s="86">
        <f>IF(R272=1,SUM($R$100:R272),0)</f>
        <v/>
      </c>
      <c r="T272" s="86">
        <f>IFERROR(IF(AND(IFERROR(INDEX(Tbl案件[案件狀況],173),"")="已破獲未移送",IFERROR(INDEX(Tbl案件[查獲管轄],173),"")="本轄",IFERROR(INDEX(Tbl案件[歸屬年度],173),0)=(YEAR(今日)-1911)),1,0),0)</f>
        <v/>
      </c>
      <c r="U272" s="86">
        <f>IF(T272=1,SUM($T$100:T272),0)</f>
        <v/>
      </c>
    </row>
    <row r="273" hidden="1">
      <c r="Q273" s="86" t="n">
        <v>174</v>
      </c>
      <c r="R273" s="86">
        <f>IFERROR(IF(AND(IFERROR(INDEX(Tbl案件[案件狀況],174),"")="尚未偵破",IFERROR(INDEX(Tbl案件[發生管轄],174),"")="本轄",IFERROR(INDEX(Tbl案件[歸屬年度],174),0)=(YEAR(今日)-1911)),1,0),0)</f>
        <v/>
      </c>
      <c r="S273" s="86">
        <f>IF(R273=1,SUM($R$100:R273),0)</f>
        <v/>
      </c>
      <c r="T273" s="86">
        <f>IFERROR(IF(AND(IFERROR(INDEX(Tbl案件[案件狀況],174),"")="已破獲未移送",IFERROR(INDEX(Tbl案件[查獲管轄],174),"")="本轄",IFERROR(INDEX(Tbl案件[歸屬年度],174),0)=(YEAR(今日)-1911)),1,0),0)</f>
        <v/>
      </c>
      <c r="U273" s="86">
        <f>IF(T273=1,SUM($T$100:T273),0)</f>
        <v/>
      </c>
    </row>
    <row r="274" hidden="1">
      <c r="Q274" s="86" t="n">
        <v>175</v>
      </c>
      <c r="R274" s="86">
        <f>IFERROR(IF(AND(IFERROR(INDEX(Tbl案件[案件狀況],175),"")="尚未偵破",IFERROR(INDEX(Tbl案件[發生管轄],175),"")="本轄",IFERROR(INDEX(Tbl案件[歸屬年度],175),0)=(YEAR(今日)-1911)),1,0),0)</f>
        <v/>
      </c>
      <c r="S274" s="86">
        <f>IF(R274=1,SUM($R$100:R274),0)</f>
        <v/>
      </c>
      <c r="T274" s="86">
        <f>IFERROR(IF(AND(IFERROR(INDEX(Tbl案件[案件狀況],175),"")="已破獲未移送",IFERROR(INDEX(Tbl案件[查獲管轄],175),"")="本轄",IFERROR(INDEX(Tbl案件[歸屬年度],175),0)=(YEAR(今日)-1911)),1,0),0)</f>
        <v/>
      </c>
      <c r="U274" s="86">
        <f>IF(T274=1,SUM($T$100:T274),0)</f>
        <v/>
      </c>
    </row>
    <row r="275" hidden="1">
      <c r="Q275" s="86" t="n">
        <v>176</v>
      </c>
      <c r="R275" s="86">
        <f>IFERROR(IF(AND(IFERROR(INDEX(Tbl案件[案件狀況],176),"")="尚未偵破",IFERROR(INDEX(Tbl案件[發生管轄],176),"")="本轄",IFERROR(INDEX(Tbl案件[歸屬年度],176),0)=(YEAR(今日)-1911)),1,0),0)</f>
        <v/>
      </c>
      <c r="S275" s="86">
        <f>IF(R275=1,SUM($R$100:R275),0)</f>
        <v/>
      </c>
      <c r="T275" s="86">
        <f>IFERROR(IF(AND(IFERROR(INDEX(Tbl案件[案件狀況],176),"")="已破獲未移送",IFERROR(INDEX(Tbl案件[查獲管轄],176),"")="本轄",IFERROR(INDEX(Tbl案件[歸屬年度],176),0)=(YEAR(今日)-1911)),1,0),0)</f>
        <v/>
      </c>
      <c r="U275" s="86">
        <f>IF(T275=1,SUM($T$100:T275),0)</f>
        <v/>
      </c>
    </row>
    <row r="276" hidden="1">
      <c r="Q276" s="86" t="n">
        <v>177</v>
      </c>
      <c r="R276" s="86">
        <f>IFERROR(IF(AND(IFERROR(INDEX(Tbl案件[案件狀況],177),"")="尚未偵破",IFERROR(INDEX(Tbl案件[發生管轄],177),"")="本轄",IFERROR(INDEX(Tbl案件[歸屬年度],177),0)=(YEAR(今日)-1911)),1,0),0)</f>
        <v/>
      </c>
      <c r="S276" s="86">
        <f>IF(R276=1,SUM($R$100:R276),0)</f>
        <v/>
      </c>
      <c r="T276" s="86">
        <f>IFERROR(IF(AND(IFERROR(INDEX(Tbl案件[案件狀況],177),"")="已破獲未移送",IFERROR(INDEX(Tbl案件[查獲管轄],177),"")="本轄",IFERROR(INDEX(Tbl案件[歸屬年度],177),0)=(YEAR(今日)-1911)),1,0),0)</f>
        <v/>
      </c>
      <c r="U276" s="86">
        <f>IF(T276=1,SUM($T$100:T276),0)</f>
        <v/>
      </c>
    </row>
    <row r="277" hidden="1">
      <c r="Q277" s="86" t="n">
        <v>178</v>
      </c>
      <c r="R277" s="86">
        <f>IFERROR(IF(AND(IFERROR(INDEX(Tbl案件[案件狀況],178),"")="尚未偵破",IFERROR(INDEX(Tbl案件[發生管轄],178),"")="本轄",IFERROR(INDEX(Tbl案件[歸屬年度],178),0)=(YEAR(今日)-1911)),1,0),0)</f>
        <v/>
      </c>
      <c r="S277" s="86">
        <f>IF(R277=1,SUM($R$100:R277),0)</f>
        <v/>
      </c>
      <c r="T277" s="86">
        <f>IFERROR(IF(AND(IFERROR(INDEX(Tbl案件[案件狀況],178),"")="已破獲未移送",IFERROR(INDEX(Tbl案件[查獲管轄],178),"")="本轄",IFERROR(INDEX(Tbl案件[歸屬年度],178),0)=(YEAR(今日)-1911)),1,0),0)</f>
        <v/>
      </c>
      <c r="U277" s="86">
        <f>IF(T277=1,SUM($T$100:T277),0)</f>
        <v/>
      </c>
    </row>
    <row r="278" hidden="1">
      <c r="Q278" s="86" t="n">
        <v>179</v>
      </c>
      <c r="R278" s="86">
        <f>IFERROR(IF(AND(IFERROR(INDEX(Tbl案件[案件狀況],179),"")="尚未偵破",IFERROR(INDEX(Tbl案件[發生管轄],179),"")="本轄",IFERROR(INDEX(Tbl案件[歸屬年度],179),0)=(YEAR(今日)-1911)),1,0),0)</f>
        <v/>
      </c>
      <c r="S278" s="86">
        <f>IF(R278=1,SUM($R$100:R278),0)</f>
        <v/>
      </c>
      <c r="T278" s="86">
        <f>IFERROR(IF(AND(IFERROR(INDEX(Tbl案件[案件狀況],179),"")="已破獲未移送",IFERROR(INDEX(Tbl案件[查獲管轄],179),"")="本轄",IFERROR(INDEX(Tbl案件[歸屬年度],179),0)=(YEAR(今日)-1911)),1,0),0)</f>
        <v/>
      </c>
      <c r="U278" s="86">
        <f>IF(T278=1,SUM($T$100:T278),0)</f>
        <v/>
      </c>
    </row>
    <row r="279" hidden="1">
      <c r="Q279" s="86" t="n">
        <v>180</v>
      </c>
      <c r="R279" s="86">
        <f>IFERROR(IF(AND(IFERROR(INDEX(Tbl案件[案件狀況],180),"")="尚未偵破",IFERROR(INDEX(Tbl案件[發生管轄],180),"")="本轄",IFERROR(INDEX(Tbl案件[歸屬年度],180),0)=(YEAR(今日)-1911)),1,0),0)</f>
        <v/>
      </c>
      <c r="S279" s="86">
        <f>IF(R279=1,SUM($R$100:R279),0)</f>
        <v/>
      </c>
      <c r="T279" s="86">
        <f>IFERROR(IF(AND(IFERROR(INDEX(Tbl案件[案件狀況],180),"")="已破獲未移送",IFERROR(INDEX(Tbl案件[查獲管轄],180),"")="本轄",IFERROR(INDEX(Tbl案件[歸屬年度],180),0)=(YEAR(今日)-1911)),1,0),0)</f>
        <v/>
      </c>
      <c r="U279" s="86">
        <f>IF(T279=1,SUM($T$100:T279),0)</f>
        <v/>
      </c>
    </row>
    <row r="280" hidden="1">
      <c r="Q280" s="86" t="n">
        <v>181</v>
      </c>
      <c r="R280" s="86">
        <f>IFERROR(IF(AND(IFERROR(INDEX(Tbl案件[案件狀況],181),"")="尚未偵破",IFERROR(INDEX(Tbl案件[發生管轄],181),"")="本轄",IFERROR(INDEX(Tbl案件[歸屬年度],181),0)=(YEAR(今日)-1911)),1,0),0)</f>
        <v/>
      </c>
      <c r="S280" s="86">
        <f>IF(R280=1,SUM($R$100:R280),0)</f>
        <v/>
      </c>
      <c r="T280" s="86">
        <f>IFERROR(IF(AND(IFERROR(INDEX(Tbl案件[案件狀況],181),"")="已破獲未移送",IFERROR(INDEX(Tbl案件[查獲管轄],181),"")="本轄",IFERROR(INDEX(Tbl案件[歸屬年度],181),0)=(YEAR(今日)-1911)),1,0),0)</f>
        <v/>
      </c>
      <c r="U280" s="86">
        <f>IF(T280=1,SUM($T$100:T280),0)</f>
        <v/>
      </c>
    </row>
    <row r="281" hidden="1">
      <c r="Q281" s="86" t="n">
        <v>182</v>
      </c>
      <c r="R281" s="86">
        <f>IFERROR(IF(AND(IFERROR(INDEX(Tbl案件[案件狀況],182),"")="尚未偵破",IFERROR(INDEX(Tbl案件[發生管轄],182),"")="本轄",IFERROR(INDEX(Tbl案件[歸屬年度],182),0)=(YEAR(今日)-1911)),1,0),0)</f>
        <v/>
      </c>
      <c r="S281" s="86">
        <f>IF(R281=1,SUM($R$100:R281),0)</f>
        <v/>
      </c>
      <c r="T281" s="86">
        <f>IFERROR(IF(AND(IFERROR(INDEX(Tbl案件[案件狀況],182),"")="已破獲未移送",IFERROR(INDEX(Tbl案件[查獲管轄],182),"")="本轄",IFERROR(INDEX(Tbl案件[歸屬年度],182),0)=(YEAR(今日)-1911)),1,0),0)</f>
        <v/>
      </c>
      <c r="U281" s="86">
        <f>IF(T281=1,SUM($T$100:T281),0)</f>
        <v/>
      </c>
    </row>
    <row r="282" hidden="1">
      <c r="Q282" s="86" t="n">
        <v>183</v>
      </c>
      <c r="R282" s="86">
        <f>IFERROR(IF(AND(IFERROR(INDEX(Tbl案件[案件狀況],183),"")="尚未偵破",IFERROR(INDEX(Tbl案件[發生管轄],183),"")="本轄",IFERROR(INDEX(Tbl案件[歸屬年度],183),0)=(YEAR(今日)-1911)),1,0),0)</f>
        <v/>
      </c>
      <c r="S282" s="86">
        <f>IF(R282=1,SUM($R$100:R282),0)</f>
        <v/>
      </c>
      <c r="T282" s="86">
        <f>IFERROR(IF(AND(IFERROR(INDEX(Tbl案件[案件狀況],183),"")="已破獲未移送",IFERROR(INDEX(Tbl案件[查獲管轄],183),"")="本轄",IFERROR(INDEX(Tbl案件[歸屬年度],183),0)=(YEAR(今日)-1911)),1,0),0)</f>
        <v/>
      </c>
      <c r="U282" s="86">
        <f>IF(T282=1,SUM($T$100:T282),0)</f>
        <v/>
      </c>
    </row>
    <row r="283" hidden="1">
      <c r="Q283" s="86" t="n">
        <v>184</v>
      </c>
      <c r="R283" s="86">
        <f>IFERROR(IF(AND(IFERROR(INDEX(Tbl案件[案件狀況],184),"")="尚未偵破",IFERROR(INDEX(Tbl案件[發生管轄],184),"")="本轄",IFERROR(INDEX(Tbl案件[歸屬年度],184),0)=(YEAR(今日)-1911)),1,0),0)</f>
        <v/>
      </c>
      <c r="S283" s="86">
        <f>IF(R283=1,SUM($R$100:R283),0)</f>
        <v/>
      </c>
      <c r="T283" s="86">
        <f>IFERROR(IF(AND(IFERROR(INDEX(Tbl案件[案件狀況],184),"")="已破獲未移送",IFERROR(INDEX(Tbl案件[查獲管轄],184),"")="本轄",IFERROR(INDEX(Tbl案件[歸屬年度],184),0)=(YEAR(今日)-1911)),1,0),0)</f>
        <v/>
      </c>
      <c r="U283" s="86">
        <f>IF(T283=1,SUM($T$100:T283),0)</f>
        <v/>
      </c>
    </row>
    <row r="284" hidden="1">
      <c r="Q284" s="86" t="n">
        <v>185</v>
      </c>
      <c r="R284" s="86">
        <f>IFERROR(IF(AND(IFERROR(INDEX(Tbl案件[案件狀況],185),"")="尚未偵破",IFERROR(INDEX(Tbl案件[發生管轄],185),"")="本轄",IFERROR(INDEX(Tbl案件[歸屬年度],185),0)=(YEAR(今日)-1911)),1,0),0)</f>
        <v/>
      </c>
      <c r="S284" s="86">
        <f>IF(R284=1,SUM($R$100:R284),0)</f>
        <v/>
      </c>
      <c r="T284" s="86">
        <f>IFERROR(IF(AND(IFERROR(INDEX(Tbl案件[案件狀況],185),"")="已破獲未移送",IFERROR(INDEX(Tbl案件[查獲管轄],185),"")="本轄",IFERROR(INDEX(Tbl案件[歸屬年度],185),0)=(YEAR(今日)-1911)),1,0),0)</f>
        <v/>
      </c>
      <c r="U284" s="86">
        <f>IF(T284=1,SUM($T$100:T284),0)</f>
        <v/>
      </c>
    </row>
    <row r="285" hidden="1">
      <c r="Q285" s="86" t="n">
        <v>186</v>
      </c>
      <c r="R285" s="86">
        <f>IFERROR(IF(AND(IFERROR(INDEX(Tbl案件[案件狀況],186),"")="尚未偵破",IFERROR(INDEX(Tbl案件[發生管轄],186),"")="本轄",IFERROR(INDEX(Tbl案件[歸屬年度],186),0)=(YEAR(今日)-1911)),1,0),0)</f>
        <v/>
      </c>
      <c r="S285" s="86">
        <f>IF(R285=1,SUM($R$100:R285),0)</f>
        <v/>
      </c>
      <c r="T285" s="86">
        <f>IFERROR(IF(AND(IFERROR(INDEX(Tbl案件[案件狀況],186),"")="已破獲未移送",IFERROR(INDEX(Tbl案件[查獲管轄],186),"")="本轄",IFERROR(INDEX(Tbl案件[歸屬年度],186),0)=(YEAR(今日)-1911)),1,0),0)</f>
        <v/>
      </c>
      <c r="U285" s="86">
        <f>IF(T285=1,SUM($T$100:T285),0)</f>
        <v/>
      </c>
    </row>
    <row r="286" hidden="1">
      <c r="Q286" s="86" t="n">
        <v>187</v>
      </c>
      <c r="R286" s="86">
        <f>IFERROR(IF(AND(IFERROR(INDEX(Tbl案件[案件狀況],187),"")="尚未偵破",IFERROR(INDEX(Tbl案件[發生管轄],187),"")="本轄",IFERROR(INDEX(Tbl案件[歸屬年度],187),0)=(YEAR(今日)-1911)),1,0),0)</f>
        <v/>
      </c>
      <c r="S286" s="86">
        <f>IF(R286=1,SUM($R$100:R286),0)</f>
        <v/>
      </c>
      <c r="T286" s="86">
        <f>IFERROR(IF(AND(IFERROR(INDEX(Tbl案件[案件狀況],187),"")="已破獲未移送",IFERROR(INDEX(Tbl案件[查獲管轄],187),"")="本轄",IFERROR(INDEX(Tbl案件[歸屬年度],187),0)=(YEAR(今日)-1911)),1,0),0)</f>
        <v/>
      </c>
      <c r="U286" s="86">
        <f>IF(T286=1,SUM($T$100:T286),0)</f>
        <v/>
      </c>
    </row>
    <row r="287" hidden="1">
      <c r="Q287" s="86" t="n">
        <v>188</v>
      </c>
      <c r="R287" s="86">
        <f>IFERROR(IF(AND(IFERROR(INDEX(Tbl案件[案件狀況],188),"")="尚未偵破",IFERROR(INDEX(Tbl案件[發生管轄],188),"")="本轄",IFERROR(INDEX(Tbl案件[歸屬年度],188),0)=(YEAR(今日)-1911)),1,0),0)</f>
        <v/>
      </c>
      <c r="S287" s="86">
        <f>IF(R287=1,SUM($R$100:R287),0)</f>
        <v/>
      </c>
      <c r="T287" s="86">
        <f>IFERROR(IF(AND(IFERROR(INDEX(Tbl案件[案件狀況],188),"")="已破獲未移送",IFERROR(INDEX(Tbl案件[查獲管轄],188),"")="本轄",IFERROR(INDEX(Tbl案件[歸屬年度],188),0)=(YEAR(今日)-1911)),1,0),0)</f>
        <v/>
      </c>
      <c r="U287" s="86">
        <f>IF(T287=1,SUM($T$100:T287),0)</f>
        <v/>
      </c>
    </row>
    <row r="288" hidden="1">
      <c r="Q288" s="86" t="n">
        <v>189</v>
      </c>
      <c r="R288" s="86">
        <f>IFERROR(IF(AND(IFERROR(INDEX(Tbl案件[案件狀況],189),"")="尚未偵破",IFERROR(INDEX(Tbl案件[發生管轄],189),"")="本轄",IFERROR(INDEX(Tbl案件[歸屬年度],189),0)=(YEAR(今日)-1911)),1,0),0)</f>
        <v/>
      </c>
      <c r="S288" s="86">
        <f>IF(R288=1,SUM($R$100:R288),0)</f>
        <v/>
      </c>
      <c r="T288" s="86">
        <f>IFERROR(IF(AND(IFERROR(INDEX(Tbl案件[案件狀況],189),"")="已破獲未移送",IFERROR(INDEX(Tbl案件[查獲管轄],189),"")="本轄",IFERROR(INDEX(Tbl案件[歸屬年度],189),0)=(YEAR(今日)-1911)),1,0),0)</f>
        <v/>
      </c>
      <c r="U288" s="86">
        <f>IF(T288=1,SUM($T$100:T288),0)</f>
        <v/>
      </c>
    </row>
    <row r="289" hidden="1">
      <c r="Q289" s="86" t="n">
        <v>190</v>
      </c>
      <c r="R289" s="86">
        <f>IFERROR(IF(AND(IFERROR(INDEX(Tbl案件[案件狀況],190),"")="尚未偵破",IFERROR(INDEX(Tbl案件[發生管轄],190),"")="本轄",IFERROR(INDEX(Tbl案件[歸屬年度],190),0)=(YEAR(今日)-1911)),1,0),0)</f>
        <v/>
      </c>
      <c r="S289" s="86">
        <f>IF(R289=1,SUM($R$100:R289),0)</f>
        <v/>
      </c>
      <c r="T289" s="86">
        <f>IFERROR(IF(AND(IFERROR(INDEX(Tbl案件[案件狀況],190),"")="已破獲未移送",IFERROR(INDEX(Tbl案件[查獲管轄],190),"")="本轄",IFERROR(INDEX(Tbl案件[歸屬年度],190),0)=(YEAR(今日)-1911)),1,0),0)</f>
        <v/>
      </c>
      <c r="U289" s="86">
        <f>IF(T289=1,SUM($T$100:T289),0)</f>
        <v/>
      </c>
    </row>
    <row r="290" hidden="1">
      <c r="Q290" s="86" t="n">
        <v>191</v>
      </c>
      <c r="R290" s="86">
        <f>IFERROR(IF(AND(IFERROR(INDEX(Tbl案件[案件狀況],191),"")="尚未偵破",IFERROR(INDEX(Tbl案件[發生管轄],191),"")="本轄",IFERROR(INDEX(Tbl案件[歸屬年度],191),0)=(YEAR(今日)-1911)),1,0),0)</f>
        <v/>
      </c>
      <c r="S290" s="86">
        <f>IF(R290=1,SUM($R$100:R290),0)</f>
        <v/>
      </c>
      <c r="T290" s="86">
        <f>IFERROR(IF(AND(IFERROR(INDEX(Tbl案件[案件狀況],191),"")="已破獲未移送",IFERROR(INDEX(Tbl案件[查獲管轄],191),"")="本轄",IFERROR(INDEX(Tbl案件[歸屬年度],191),0)=(YEAR(今日)-1911)),1,0),0)</f>
        <v/>
      </c>
      <c r="U290" s="86">
        <f>IF(T290=1,SUM($T$100:T290),0)</f>
        <v/>
      </c>
    </row>
    <row r="291" hidden="1">
      <c r="Q291" s="86" t="n">
        <v>192</v>
      </c>
      <c r="R291" s="86">
        <f>IFERROR(IF(AND(IFERROR(INDEX(Tbl案件[案件狀況],192),"")="尚未偵破",IFERROR(INDEX(Tbl案件[發生管轄],192),"")="本轄",IFERROR(INDEX(Tbl案件[歸屬年度],192),0)=(YEAR(今日)-1911)),1,0),0)</f>
        <v/>
      </c>
      <c r="S291" s="86">
        <f>IF(R291=1,SUM($R$100:R291),0)</f>
        <v/>
      </c>
      <c r="T291" s="86">
        <f>IFERROR(IF(AND(IFERROR(INDEX(Tbl案件[案件狀況],192),"")="已破獲未移送",IFERROR(INDEX(Tbl案件[查獲管轄],192),"")="本轄",IFERROR(INDEX(Tbl案件[歸屬年度],192),0)=(YEAR(今日)-1911)),1,0),0)</f>
        <v/>
      </c>
      <c r="U291" s="86">
        <f>IF(T291=1,SUM($T$100:T291),0)</f>
        <v/>
      </c>
    </row>
    <row r="292" hidden="1">
      <c r="Q292" s="86" t="n">
        <v>193</v>
      </c>
      <c r="R292" s="86">
        <f>IFERROR(IF(AND(IFERROR(INDEX(Tbl案件[案件狀況],193),"")="尚未偵破",IFERROR(INDEX(Tbl案件[發生管轄],193),"")="本轄",IFERROR(INDEX(Tbl案件[歸屬年度],193),0)=(YEAR(今日)-1911)),1,0),0)</f>
        <v/>
      </c>
      <c r="S292" s="86">
        <f>IF(R292=1,SUM($R$100:R292),0)</f>
        <v/>
      </c>
      <c r="T292" s="86">
        <f>IFERROR(IF(AND(IFERROR(INDEX(Tbl案件[案件狀況],193),"")="已破獲未移送",IFERROR(INDEX(Tbl案件[查獲管轄],193),"")="本轄",IFERROR(INDEX(Tbl案件[歸屬年度],193),0)=(YEAR(今日)-1911)),1,0),0)</f>
        <v/>
      </c>
      <c r="U292" s="86">
        <f>IF(T292=1,SUM($T$100:T292),0)</f>
        <v/>
      </c>
    </row>
    <row r="293" hidden="1">
      <c r="Q293" s="86" t="n">
        <v>194</v>
      </c>
      <c r="R293" s="86">
        <f>IFERROR(IF(AND(IFERROR(INDEX(Tbl案件[案件狀況],194),"")="尚未偵破",IFERROR(INDEX(Tbl案件[發生管轄],194),"")="本轄",IFERROR(INDEX(Tbl案件[歸屬年度],194),0)=(YEAR(今日)-1911)),1,0),0)</f>
        <v/>
      </c>
      <c r="S293" s="86">
        <f>IF(R293=1,SUM($R$100:R293),0)</f>
        <v/>
      </c>
      <c r="T293" s="86">
        <f>IFERROR(IF(AND(IFERROR(INDEX(Tbl案件[案件狀況],194),"")="已破獲未移送",IFERROR(INDEX(Tbl案件[查獲管轄],194),"")="本轄",IFERROR(INDEX(Tbl案件[歸屬年度],194),0)=(YEAR(今日)-1911)),1,0),0)</f>
        <v/>
      </c>
      <c r="U293" s="86">
        <f>IF(T293=1,SUM($T$100:T293),0)</f>
        <v/>
      </c>
    </row>
    <row r="294" hidden="1">
      <c r="Q294" s="86" t="n">
        <v>195</v>
      </c>
      <c r="R294" s="86">
        <f>IFERROR(IF(AND(IFERROR(INDEX(Tbl案件[案件狀況],195),"")="尚未偵破",IFERROR(INDEX(Tbl案件[發生管轄],195),"")="本轄",IFERROR(INDEX(Tbl案件[歸屬年度],195),0)=(YEAR(今日)-1911)),1,0),0)</f>
        <v/>
      </c>
      <c r="S294" s="86">
        <f>IF(R294=1,SUM($R$100:R294),0)</f>
        <v/>
      </c>
      <c r="T294" s="86">
        <f>IFERROR(IF(AND(IFERROR(INDEX(Tbl案件[案件狀況],195),"")="已破獲未移送",IFERROR(INDEX(Tbl案件[查獲管轄],195),"")="本轄",IFERROR(INDEX(Tbl案件[歸屬年度],195),0)=(YEAR(今日)-1911)),1,0),0)</f>
        <v/>
      </c>
      <c r="U294" s="86">
        <f>IF(T294=1,SUM($T$100:T294),0)</f>
        <v/>
      </c>
    </row>
    <row r="295" hidden="1">
      <c r="Q295" s="86" t="n">
        <v>196</v>
      </c>
      <c r="R295" s="86">
        <f>IFERROR(IF(AND(IFERROR(INDEX(Tbl案件[案件狀況],196),"")="尚未偵破",IFERROR(INDEX(Tbl案件[發生管轄],196),"")="本轄",IFERROR(INDEX(Tbl案件[歸屬年度],196),0)=(YEAR(今日)-1911)),1,0),0)</f>
        <v/>
      </c>
      <c r="S295" s="86">
        <f>IF(R295=1,SUM($R$100:R295),0)</f>
        <v/>
      </c>
      <c r="T295" s="86">
        <f>IFERROR(IF(AND(IFERROR(INDEX(Tbl案件[案件狀況],196),"")="已破獲未移送",IFERROR(INDEX(Tbl案件[查獲管轄],196),"")="本轄",IFERROR(INDEX(Tbl案件[歸屬年度],196),0)=(YEAR(今日)-1911)),1,0),0)</f>
        <v/>
      </c>
      <c r="U295" s="86">
        <f>IF(T295=1,SUM($T$100:T295),0)</f>
        <v/>
      </c>
    </row>
    <row r="296" hidden="1">
      <c r="Q296" s="86" t="n">
        <v>197</v>
      </c>
      <c r="R296" s="86">
        <f>IFERROR(IF(AND(IFERROR(INDEX(Tbl案件[案件狀況],197),"")="尚未偵破",IFERROR(INDEX(Tbl案件[發生管轄],197),"")="本轄",IFERROR(INDEX(Tbl案件[歸屬年度],197),0)=(YEAR(今日)-1911)),1,0),0)</f>
        <v/>
      </c>
      <c r="S296" s="86">
        <f>IF(R296=1,SUM($R$100:R296),0)</f>
        <v/>
      </c>
      <c r="T296" s="86">
        <f>IFERROR(IF(AND(IFERROR(INDEX(Tbl案件[案件狀況],197),"")="已破獲未移送",IFERROR(INDEX(Tbl案件[查獲管轄],197),"")="本轄",IFERROR(INDEX(Tbl案件[歸屬年度],197),0)=(YEAR(今日)-1911)),1,0),0)</f>
        <v/>
      </c>
      <c r="U296" s="86">
        <f>IF(T296=1,SUM($T$100:T296),0)</f>
        <v/>
      </c>
    </row>
    <row r="297" hidden="1">
      <c r="Q297" s="86" t="n">
        <v>198</v>
      </c>
      <c r="R297" s="86">
        <f>IFERROR(IF(AND(IFERROR(INDEX(Tbl案件[案件狀況],198),"")="尚未偵破",IFERROR(INDEX(Tbl案件[發生管轄],198),"")="本轄",IFERROR(INDEX(Tbl案件[歸屬年度],198),0)=(YEAR(今日)-1911)),1,0),0)</f>
        <v/>
      </c>
      <c r="S297" s="86">
        <f>IF(R297=1,SUM($R$100:R297),0)</f>
        <v/>
      </c>
      <c r="T297" s="86">
        <f>IFERROR(IF(AND(IFERROR(INDEX(Tbl案件[案件狀況],198),"")="已破獲未移送",IFERROR(INDEX(Tbl案件[查獲管轄],198),"")="本轄",IFERROR(INDEX(Tbl案件[歸屬年度],198),0)=(YEAR(今日)-1911)),1,0),0)</f>
        <v/>
      </c>
      <c r="U297" s="86">
        <f>IF(T297=1,SUM($T$100:T297),0)</f>
        <v/>
      </c>
    </row>
    <row r="298" hidden="1">
      <c r="Q298" s="86" t="n">
        <v>199</v>
      </c>
      <c r="R298" s="86">
        <f>IFERROR(IF(AND(IFERROR(INDEX(Tbl案件[案件狀況],199),"")="尚未偵破",IFERROR(INDEX(Tbl案件[發生管轄],199),"")="本轄",IFERROR(INDEX(Tbl案件[歸屬年度],199),0)=(YEAR(今日)-1911)),1,0),0)</f>
        <v/>
      </c>
      <c r="S298" s="86">
        <f>IF(R298=1,SUM($R$100:R298),0)</f>
        <v/>
      </c>
      <c r="T298" s="86">
        <f>IFERROR(IF(AND(IFERROR(INDEX(Tbl案件[案件狀況],199),"")="已破獲未移送",IFERROR(INDEX(Tbl案件[查獲管轄],199),"")="本轄",IFERROR(INDEX(Tbl案件[歸屬年度],199),0)=(YEAR(今日)-1911)),1,0),0)</f>
        <v/>
      </c>
      <c r="U298" s="86">
        <f>IF(T298=1,SUM($T$100:T298),0)</f>
        <v/>
      </c>
    </row>
    <row r="299" hidden="1">
      <c r="Q299" s="86" t="n">
        <v>200</v>
      </c>
      <c r="R299" s="86">
        <f>IFERROR(IF(AND(IFERROR(INDEX(Tbl案件[案件狀況],200),"")="尚未偵破",IFERROR(INDEX(Tbl案件[發生管轄],200),"")="本轄",IFERROR(INDEX(Tbl案件[歸屬年度],200),0)=(YEAR(今日)-1911)),1,0),0)</f>
        <v/>
      </c>
      <c r="S299" s="86">
        <f>IF(R299=1,SUM($R$100:R299),0)</f>
        <v/>
      </c>
      <c r="T299" s="86">
        <f>IFERROR(IF(AND(IFERROR(INDEX(Tbl案件[案件狀況],200),"")="已破獲未移送",IFERROR(INDEX(Tbl案件[查獲管轄],200),"")="本轄",IFERROR(INDEX(Tbl案件[歸屬年度],200),0)=(YEAR(今日)-1911)),1,0),0)</f>
        <v/>
      </c>
      <c r="U299" s="86">
        <f>IF(T299=1,SUM($T$100:T299),0)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4">
    <mergeCell ref="A2:I2"/>
    <mergeCell ref="G5:I5"/>
    <mergeCell ref="D5:E5"/>
    <mergeCell ref="A5:B5"/>
    <mergeCell ref="A1:I1"/>
    <mergeCell ref="A45:I45"/>
    <mergeCell ref="A9:I9"/>
    <mergeCell ref="A27:I27"/>
    <mergeCell ref="G7:I7"/>
    <mergeCell ref="D7:F7"/>
    <mergeCell ref="A7:C7"/>
    <mergeCell ref="A4:I4"/>
    <mergeCell ref="F5"/>
    <mergeCell ref="C5"/>
  </mergeCells>
  <conditionalFormatting sqref="A11:I25">
    <cfRule type="expression" priority="1" dxfId="6" stopIfTrue="0">
      <formula>ISNUMBER(SEARCH("尚未偵破",$F11))</formula>
    </cfRule>
  </conditionalFormatting>
  <conditionalFormatting sqref="F11:F25">
    <cfRule type="expression" priority="2" dxfId="0" stopIfTrue="0">
      <formula>ISNUMBER(SEARCH("尚未偵破",F11))</formula>
    </cfRule>
  </conditionalFormatting>
  <conditionalFormatting sqref="A29:I43">
    <cfRule type="expression" priority="3" dxfId="7" stopIfTrue="0">
      <formula>ISNUMBER(SEARCH("已破獲未移送",$F29))</formula>
    </cfRule>
  </conditionalFormatting>
  <conditionalFormatting sqref="F29:F43">
    <cfRule type="expression" priority="4" dxfId="1" stopIfTrue="0">
      <formula>ISNUMBER(SEARCH("已破獲未移送",F29))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8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22" customWidth="1" min="5" max="5"/>
    <col width="22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2" customWidth="1" min="12" max="12"/>
    <col width="6" customWidth="1" min="13" max="13"/>
    <col width="32" customWidth="1" min="14" max="14"/>
    <col width="16" customWidth="1" min="15" max="15"/>
  </cols>
  <sheetData>
    <row r="1" ht="52" customHeight="1">
      <c r="A1" s="27" t="inlineStr">
        <is>
          <t xml:space="preserve">   📌  發展中案件管制（v2.1 加 承辦人 / 線索來源 / 重大性 三欄）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28" customHeight="1">
      <c r="A2" s="2" t="inlineStr">
        <is>
          <t xml:space="preserve">   主表 9 欄（v43 6 欄 + v2.1 3 欄）+ 頂部三段狀態縮影 + 右側待轉案件候選（70/30 兩翼防呆）</t>
        </is>
      </c>
    </row>
    <row r="3" ht="8" customHeight="1"/>
    <row r="4" ht="34" customHeight="1">
      <c r="A4" s="39" t="inlineStr">
        <is>
          <t xml:space="preserve">   ⚡  狀態縮影（v2.1 閾值改 7/30 日 — 更敏感）</t>
        </is>
      </c>
    </row>
    <row r="5" ht="8" customHeight="1"/>
    <row r="6" ht="32" customHeight="1">
      <c r="A6" s="48">
        <f>"● 新進（≤"&amp;新進閾值&amp;" 日）"</f>
        <v/>
      </c>
      <c r="B6" s="8" t="n"/>
      <c r="C6" s="49">
        <f>3</f>
        <v/>
      </c>
    </row>
    <row r="7" ht="32" customHeight="1">
      <c r="A7" s="50">
        <f>"⚠ 偵辦中（"&amp;(新進閾值+1)&amp;"-"&amp;老案閾值&amp;" 日）"</f>
        <v/>
      </c>
      <c r="B7" s="8" t="n"/>
      <c r="C7" s="51">
        <f>4</f>
        <v/>
      </c>
    </row>
    <row r="8" ht="32" customHeight="1">
      <c r="A8" s="52">
        <f>"✕ 老案（&gt;"&amp;老案閾值&amp;" 日）"</f>
        <v/>
      </c>
      <c r="B8" s="8" t="n"/>
      <c r="C8" s="53">
        <f>1</f>
        <v/>
      </c>
    </row>
    <row r="9" ht="8" customHeight="1"/>
    <row r="10" ht="26" customHeight="1">
      <c r="A10" s="54">
        <f>"🔧 閾值：新進 ≤ " &amp; 新進閾值 &amp; " 日 ｜ 老案 &gt; " &amp; 老案閾值 &amp; " 日 ｜ 可在設定表 C 區調整"</f>
        <v/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8" t="n"/>
    </row>
    <row r="11" ht="12" customHeight="1"/>
    <row r="12" ht="34" customHeight="1">
      <c r="A12" s="39" t="inlineStr">
        <is>
          <t xml:space="preserve">   📋  發展中案件主表（v43 6 欄 + v2.1 3 欄輸入 + 2 計算欄）</t>
        </is>
      </c>
      <c r="M12" s="39" t="inlineStr">
        <is>
          <t xml:space="preserve">   📌  待轉案件候選</t>
        </is>
      </c>
    </row>
    <row r="13" ht="34" customHeight="1">
      <c r="A13" s="10" t="inlineStr">
        <is>
          <t>編號</t>
        </is>
      </c>
      <c r="B13" s="10" t="inlineStr">
        <is>
          <t>案由</t>
        </is>
      </c>
      <c r="C13" s="10" t="inlineStr">
        <is>
          <t>進度</t>
        </is>
      </c>
      <c r="D13" s="10" t="inlineStr">
        <is>
          <t>執行時間</t>
        </is>
      </c>
      <c r="E13" s="10" t="inlineStr">
        <is>
          <t>查緝結果</t>
        </is>
      </c>
      <c r="F13" s="10" t="inlineStr">
        <is>
          <t>備註</t>
        </is>
      </c>
      <c r="G13" s="10" t="inlineStr">
        <is>
          <t>承辦人</t>
        </is>
      </c>
      <c r="H13" s="10" t="inlineStr">
        <is>
          <t>線索來源</t>
        </is>
      </c>
      <c r="I13" s="10" t="inlineStr">
        <is>
          <t>重大性</t>
        </is>
      </c>
      <c r="J13" s="10" t="inlineStr">
        <is>
          <t>距今</t>
        </is>
      </c>
      <c r="K13" s="10" t="inlineStr">
        <is>
          <t>狀態</t>
        </is>
      </c>
      <c r="M13" s="10" t="inlineStr">
        <is>
          <t>#</t>
        </is>
      </c>
      <c r="N13" s="10" t="inlineStr">
        <is>
          <t>案由 / 狀態</t>
        </is>
      </c>
      <c r="O13" s="10" t="inlineStr">
        <is>
          <t>操作</t>
        </is>
      </c>
    </row>
    <row r="14" ht="40" customHeight="1">
      <c r="A14" s="223" t="n"/>
      <c r="B14" s="231" t="n"/>
      <c r="C14" s="223" t="n"/>
      <c r="D14" s="223" t="n"/>
      <c r="E14" s="231" t="n"/>
      <c r="F14" s="231" t="n"/>
      <c r="G14" s="223" t="n"/>
      <c r="H14" s="223" t="n"/>
      <c r="I14" s="223" t="n"/>
      <c r="J14" s="15" t="n">
        <v>4</v>
      </c>
      <c r="K14" s="55" t="inlineStr">
        <is>
          <t>● 綠</t>
        </is>
      </c>
      <c r="M14" s="56" t="inlineStr">
        <is>
          <t>003</t>
        </is>
      </c>
      <c r="N14" s="57" t="inlineStr">
        <is>
          <t>夜店毒品流通
已成熟 · 24 日</t>
        </is>
      </c>
      <c r="O14" s="58" t="inlineStr">
        <is>
          <t>轉案件</t>
        </is>
      </c>
    </row>
    <row r="15" ht="40" customHeight="1">
      <c r="A15" s="223" t="n"/>
      <c r="B15" s="231" t="n"/>
      <c r="C15" s="223" t="n"/>
      <c r="D15" s="223" t="n"/>
      <c r="E15" s="231" t="n"/>
      <c r="F15" s="231" t="n"/>
      <c r="G15" s="223" t="n"/>
      <c r="H15" s="223" t="n"/>
      <c r="I15" s="223" t="n"/>
      <c r="J15" s="15" t="n">
        <v>14</v>
      </c>
      <c r="K15" s="59" t="inlineStr">
        <is>
          <t>⚠ 黃</t>
        </is>
      </c>
      <c r="M15" s="56" t="inlineStr">
        <is>
          <t>005</t>
        </is>
      </c>
      <c r="N15" s="57" t="inlineStr">
        <is>
          <t>外勞集資詐騙
已成熟 · 20 日</t>
        </is>
      </c>
      <c r="O15" s="58" t="inlineStr">
        <is>
          <t>轉案件</t>
        </is>
      </c>
    </row>
    <row r="16" ht="40" customHeight="1">
      <c r="A16" s="223" t="n"/>
      <c r="B16" s="231" t="n"/>
      <c r="C16" s="223" t="n"/>
      <c r="D16" s="223" t="n"/>
      <c r="E16" s="231" t="n"/>
      <c r="F16" s="231" t="n"/>
      <c r="G16" s="223" t="n"/>
      <c r="H16" s="223" t="n"/>
      <c r="I16" s="223" t="n"/>
      <c r="J16" s="15" t="n">
        <v>24</v>
      </c>
      <c r="K16" s="59" t="inlineStr">
        <is>
          <t>⚠ 黃</t>
        </is>
      </c>
      <c r="M16" s="60" t="inlineStr">
        <is>
          <t>004</t>
        </is>
      </c>
      <c r="N16" s="61" t="inlineStr">
        <is>
          <t>○○街頭聚賭
老案逾 30 · 36 日</t>
        </is>
      </c>
      <c r="O16" s="62" t="inlineStr">
        <is>
          <t>評估簽結</t>
        </is>
      </c>
    </row>
    <row r="17" ht="30" customHeight="1">
      <c r="A17" s="223" t="n"/>
      <c r="B17" s="231" t="n"/>
      <c r="C17" s="223" t="n"/>
      <c r="D17" s="223" t="n"/>
      <c r="E17" s="231" t="n"/>
      <c r="F17" s="231" t="n"/>
      <c r="G17" s="223" t="n"/>
      <c r="H17" s="223" t="n"/>
      <c r="I17" s="223" t="n"/>
      <c r="J17" s="15" t="n">
        <v>36</v>
      </c>
      <c r="K17" s="63" t="inlineStr">
        <is>
          <t>✕ 紅</t>
        </is>
      </c>
      <c r="M17" s="5" t="inlineStr">
        <is>
          <t xml:space="preserve">   ✏ 偵查佐評估後：「轉案件」者複製欄位 → 貼到頁 5</t>
        </is>
      </c>
      <c r="N17" s="7" t="n"/>
      <c r="O17" s="8" t="n"/>
    </row>
    <row r="18" ht="30" customHeight="1">
      <c r="A18" s="223" t="n"/>
      <c r="B18" s="231" t="n"/>
      <c r="C18" s="223" t="n"/>
      <c r="D18" s="223" t="n"/>
      <c r="E18" s="231" t="n"/>
      <c r="F18" s="231" t="n"/>
      <c r="G18" s="223" t="n"/>
      <c r="H18" s="223" t="n"/>
      <c r="I18" s="223" t="n"/>
      <c r="J18" s="15" t="n">
        <v>20</v>
      </c>
      <c r="K18" s="59" t="inlineStr">
        <is>
          <t>⚠ 黃</t>
        </is>
      </c>
    </row>
    <row r="19" ht="30" customHeight="1">
      <c r="A19" s="227" t="n"/>
      <c r="B19" s="227" t="n"/>
      <c r="C19" s="227" t="n"/>
      <c r="D19" s="227" t="n"/>
      <c r="E19" s="227" t="n"/>
      <c r="F19" s="227" t="n"/>
      <c r="G19" s="227" t="n"/>
      <c r="H19" s="227" t="n"/>
      <c r="I19" s="227" t="n"/>
      <c r="J19" s="64" t="n"/>
      <c r="K19" s="64" t="n"/>
    </row>
    <row r="20" ht="30" customHeight="1">
      <c r="A20" s="227" t="n"/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64" t="n"/>
      <c r="K20" s="64" t="n"/>
    </row>
    <row r="21" ht="30" customHeight="1">
      <c r="A21" s="227" t="n"/>
      <c r="B21" s="227" t="n"/>
      <c r="C21" s="227" t="n"/>
      <c r="D21" s="227" t="n"/>
      <c r="E21" s="227" t="n"/>
      <c r="F21" s="227" t="n"/>
      <c r="G21" s="227" t="n"/>
      <c r="H21" s="227" t="n"/>
      <c r="I21" s="227" t="n"/>
      <c r="J21" s="64" t="n"/>
      <c r="K21" s="64" t="n"/>
    </row>
    <row r="22" ht="30" customHeight="1">
      <c r="A22" s="227" t="n"/>
      <c r="B22" s="227" t="n"/>
      <c r="C22" s="227" t="n"/>
      <c r="D22" s="227" t="n"/>
      <c r="E22" s="227" t="n"/>
      <c r="F22" s="227" t="n"/>
      <c r="G22" s="227" t="n"/>
      <c r="H22" s="227" t="n"/>
      <c r="I22" s="227" t="n"/>
      <c r="J22" s="64" t="n"/>
      <c r="K22" s="64" t="n"/>
    </row>
    <row r="23" ht="30" customHeight="1">
      <c r="A23" s="227" t="n"/>
      <c r="B23" s="227" t="n"/>
      <c r="C23" s="227" t="n"/>
      <c r="D23" s="227" t="n"/>
      <c r="E23" s="227" t="n"/>
      <c r="F23" s="227" t="n"/>
      <c r="G23" s="227" t="n"/>
      <c r="H23" s="227" t="n"/>
      <c r="I23" s="227" t="n"/>
      <c r="J23" s="64" t="n"/>
      <c r="K23" s="64" t="n"/>
    </row>
    <row r="24" ht="30" customHeight="1">
      <c r="A24" s="227" t="n"/>
      <c r="B24" s="227" t="n"/>
      <c r="C24" s="227" t="n"/>
      <c r="D24" s="227" t="n"/>
      <c r="E24" s="227" t="n"/>
      <c r="F24" s="227" t="n"/>
      <c r="G24" s="227" t="n"/>
      <c r="H24" s="227" t="n"/>
      <c r="I24" s="227" t="n"/>
      <c r="J24" s="64" t="n"/>
      <c r="K24" s="64" t="n"/>
    </row>
    <row r="25" ht="30" customHeight="1">
      <c r="A25" s="227" t="n"/>
      <c r="B25" s="227" t="n"/>
      <c r="C25" s="227" t="n"/>
      <c r="D25" s="227" t="n"/>
      <c r="E25" s="227" t="n"/>
      <c r="F25" s="227" t="n"/>
      <c r="G25" s="227" t="n"/>
      <c r="H25" s="227" t="n"/>
      <c r="I25" s="227" t="n"/>
      <c r="J25" s="64" t="n"/>
      <c r="K25" s="64" t="n"/>
    </row>
    <row r="26" ht="30" customHeight="1">
      <c r="A26" s="227" t="n"/>
      <c r="B26" s="227" t="n"/>
      <c r="C26" s="227" t="n"/>
      <c r="D26" s="227" t="n"/>
      <c r="E26" s="227" t="n"/>
      <c r="F26" s="227" t="n"/>
      <c r="G26" s="227" t="n"/>
      <c r="H26" s="227" t="n"/>
      <c r="I26" s="227" t="n"/>
      <c r="J26" s="64" t="n"/>
      <c r="K26" s="64" t="n"/>
    </row>
    <row r="27" ht="30" customHeight="1">
      <c r="A27" s="227" t="n"/>
      <c r="B27" s="227" t="n"/>
      <c r="C27" s="227" t="n"/>
      <c r="D27" s="227" t="n"/>
      <c r="E27" s="227" t="n"/>
      <c r="F27" s="227" t="n"/>
      <c r="G27" s="227" t="n"/>
      <c r="H27" s="227" t="n"/>
      <c r="I27" s="227" t="n"/>
      <c r="J27" s="64" t="n"/>
      <c r="K27" s="64" t="n"/>
    </row>
    <row r="28" ht="30" customHeight="1">
      <c r="A28" s="227" t="n"/>
      <c r="B28" s="227" t="n"/>
      <c r="C28" s="227" t="n"/>
      <c r="D28" s="227" t="n"/>
      <c r="E28" s="227" t="n"/>
      <c r="F28" s="227" t="n"/>
      <c r="G28" s="227" t="n"/>
      <c r="H28" s="227" t="n"/>
      <c r="I28" s="227" t="n"/>
      <c r="J28" s="64" t="n"/>
      <c r="K28" s="6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0">
    <mergeCell ref="A4:E4"/>
    <mergeCell ref="A12:K12"/>
    <mergeCell ref="A2:O2"/>
    <mergeCell ref="A7:B7"/>
    <mergeCell ref="A10:O10"/>
    <mergeCell ref="A1:O1"/>
    <mergeCell ref="M17:O17"/>
    <mergeCell ref="M12:O12"/>
    <mergeCell ref="A8:B8"/>
    <mergeCell ref="A6:B6"/>
  </mergeCells>
  <conditionalFormatting sqref="K14:K28">
    <cfRule type="expression" priority="1" dxfId="0" stopIfTrue="0">
      <formula>ISNUMBER(SEARCH("紅",K14))</formula>
    </cfRule>
    <cfRule type="expression" priority="2" dxfId="1" stopIfTrue="0">
      <formula>ISNUMBER(SEARCH("黃",K14))</formula>
    </cfRule>
    <cfRule type="expression" priority="3" dxfId="2" stopIfTrue="0">
      <formula>ISNUMBER(SEARCH("綠",K14))</formula>
    </cfRule>
  </conditionalFormatting>
  <conditionalFormatting sqref="A14:K28">
    <cfRule type="expression" priority="4" dxfId="6" stopIfTrue="0">
      <formula>ISNUMBER(SEARCH("紅",$K14))</formula>
    </cfRule>
    <cfRule type="expression" priority="5" dxfId="7" stopIfTrue="0">
      <formula>ISNUMBER(SEARCH("黃",$K14))</formula>
    </cfRule>
  </conditionalFormatting>
  <dataValidations count="4">
    <dataValidation sqref="C14:C28" showDropDown="0" showInputMessage="0" showErrorMessage="0" allowBlank="1" type="list">
      <formula1>=發展中進度清單</formula1>
    </dataValidation>
    <dataValidation sqref="G14:G28" showDropDown="0" showInputMessage="0" showErrorMessage="0" allowBlank="1" type="list">
      <formula1>=員警姓名清單</formula1>
    </dataValidation>
    <dataValidation sqref="H14:H28" showDropDown="0" showInputMessage="0" showErrorMessage="0" allowBlank="1" type="list">
      <formula1>=線索來源清單</formula1>
    </dataValidation>
    <dataValidation sqref="I14:I28" showDropDown="0" showInputMessage="0" showErrorMessage="0" allowBlank="1" type="list">
      <formula1>=重大性清單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69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8" customWidth="1" min="4" max="4"/>
    <col width="24" customWidth="1" min="5" max="5"/>
    <col width="16" customWidth="1" min="6" max="6"/>
    <col width="10" customWidth="1" min="7" max="7"/>
    <col width="18" customWidth="1" min="8" max="8"/>
    <col width="22" customWidth="1" min="9" max="9"/>
    <col width="14" customWidth="1" min="10" max="10"/>
    <col hidden="1" width="10" customWidth="1" min="11" max="11"/>
    <col hidden="1" width="10" customWidth="1" min="12" max="12"/>
    <col hidden="1" width="10" customWidth="1" min="13" max="13"/>
    <col hidden="1" width="10" customWidth="1" min="14" max="14"/>
    <col width="3" customWidth="1" min="15" max="15"/>
    <col width="10" customWidth="1" min="16" max="16"/>
    <col width="16" customWidth="1" min="17" max="17"/>
    <col width="16" customWidth="1" min="18" max="18"/>
    <col width="24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52" customHeight="1">
      <c r="A1" s="27" t="inlineStr">
        <is>
          <t xml:space="preserve">   💊  毒品調驗人口管制（v43 9 欄 + v2.2 加最後到驗日精確 30 日逾期）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業務規則：通緝/強採/在監 算到驗 ｜ 距今 &gt; 30 日紅燈"</f>
        <v/>
      </c>
    </row>
    <row r="3" ht="8" customHeight="1"/>
    <row r="4" ht="30" customHeight="1">
      <c r="A4" s="18" t="inlineStr">
        <is>
          <t xml:space="preserve">   💡  主表 9 欄 v43 不動 + 最後到驗日（J）。狀態燈/候選由公式自動驅動 （含距今 &gt; 30 日精確判斷）。毒調率目標可在設定表 C 區調整。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8" t="n"/>
    </row>
    <row r="5" ht="8" customHeight="1"/>
    <row r="6" ht="34" customHeight="1">
      <c r="A6" s="39" t="inlineStr">
        <is>
          <t xml:space="preserve">   📊  頂部狀態縮影 + 毒調率（公式自動）</t>
        </is>
      </c>
      <c r="P6" s="125" t="inlineStr">
        <is>
          <t xml:space="preserve">   ⚠  應強採候選清單</t>
        </is>
      </c>
    </row>
    <row r="7" ht="6" customHeight="1"/>
    <row r="8" ht="24" customHeight="1">
      <c r="A8" s="129" t="inlineStr">
        <is>
          <t xml:space="preserve">  👥 列管總數</t>
        </is>
      </c>
      <c r="B8" s="7" t="n"/>
      <c r="C8" s="112" t="inlineStr">
        <is>
          <t xml:space="preserve">  ● 已到驗（含 4 種）</t>
        </is>
      </c>
      <c r="D8" s="7" t="n"/>
      <c r="E8" s="110" t="inlineStr">
        <is>
          <t xml:space="preserve">  ● 未到驗</t>
        </is>
      </c>
      <c r="F8" s="7" t="n"/>
      <c r="G8" s="111" t="inlineStr">
        <is>
          <t xml:space="preserve">  ⚠ 應強採候選</t>
        </is>
      </c>
      <c r="H8" s="7" t="n"/>
      <c r="I8" s="7" t="n"/>
    </row>
    <row r="9" ht="44" customHeight="1">
      <c r="A9" s="156">
        <f>COUNTA(Tbl毒調[姓名])</f>
        <v/>
      </c>
      <c r="B9" s="6" t="n"/>
      <c r="C9" s="157">
        <f>SUM(Tbl毒調[是否到驗])</f>
        <v/>
      </c>
      <c r="D9" s="6" t="n"/>
      <c r="E9" s="158">
        <f>COUNTA(Tbl毒調[姓名])-SUM(Tbl毒調[是否到驗])-COUNTIF(Tbl毒調[狀態燈],"*結束*")</f>
        <v/>
      </c>
      <c r="F9" s="6" t="n"/>
      <c r="G9" s="159">
        <f>SUM(Tbl毒調[候選旗標])</f>
        <v/>
      </c>
      <c r="H9" s="6" t="n"/>
      <c r="I9" s="6" t="n"/>
    </row>
    <row r="10" ht="8" customHeight="1"/>
    <row r="11" ht="40" customHeight="1">
      <c r="A11" s="138">
        <f>"毒調率：" &amp; TEXT(IFERROR(SUM(Tbl毒調[是否到驗])/COUNTA(Tbl毒調[姓名]),0),"0.0%")&amp;"   ｜  目標 ≥"&amp;TEXT(毒調率目標,"0%")&amp;"   ｜  狀態："&amp;IF(IFERROR(SUM(Tbl毒調[是否到驗])/COUNTA(Tbl毒調[姓名]),0)&gt;=毒調率目標,"● 達標","● 未達標")</f>
        <v/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 ht="22" customHeight="1">
      <c r="A12" s="160">
        <f>REPT("█",MIN(20,ROUND(IFERROR(SUM(Tbl毒調[是否到驗])/COUNTA(Tbl毒調[姓名]),0)*20,0)))&amp;REPT("░",20-MIN(20,ROUND(IFERROR(SUM(Tbl毒調[是否到驗])/COUNTA(Tbl毒調[姓名]),0)*20,0)))</f>
        <v/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34" customHeight="1">
      <c r="A13" s="39" t="inlineStr">
        <is>
          <t xml:space="preserve">   📋  列管人口主表（Tbl毒調 9 欄維持 v43 不動 + 3 計算欄隱藏）</t>
        </is>
      </c>
    </row>
    <row r="14" ht="34" customHeight="1">
      <c r="A14" s="10" t="inlineStr">
        <is>
          <t>編號</t>
        </is>
      </c>
      <c r="B14" s="10" t="inlineStr">
        <is>
          <t>姓名</t>
        </is>
      </c>
      <c r="C14" s="10" t="inlineStr">
        <is>
          <t>身分證</t>
        </is>
      </c>
      <c r="D14" s="10" t="inlineStr">
        <is>
          <t>性別</t>
        </is>
      </c>
      <c r="E14" s="10" t="inlineStr">
        <is>
          <t>住所</t>
        </is>
      </c>
      <c r="F14" s="10" t="inlineStr">
        <is>
          <t>聯繫</t>
        </is>
      </c>
      <c r="G14" s="10" t="inlineStr">
        <is>
          <t>通緝</t>
        </is>
      </c>
      <c r="H14" s="10" t="inlineStr">
        <is>
          <t>管制情形</t>
        </is>
      </c>
      <c r="I14" s="10" t="inlineStr">
        <is>
          <t>備註</t>
        </is>
      </c>
      <c r="J14" s="10" t="inlineStr">
        <is>
          <t>最後到驗日</t>
        </is>
      </c>
      <c r="K14" s="10" t="inlineStr">
        <is>
          <t>距今天數</t>
        </is>
      </c>
      <c r="L14" s="10" t="inlineStr">
        <is>
          <t>是否到驗</t>
        </is>
      </c>
      <c r="M14" s="10" t="inlineStr">
        <is>
          <t>狀態燈</t>
        </is>
      </c>
      <c r="N14" s="10" t="inlineStr">
        <is>
          <t>候選旗標</t>
        </is>
      </c>
      <c r="P14" s="140" t="inlineStr">
        <is>
          <t>編號</t>
        </is>
      </c>
      <c r="Q14" s="140" t="inlineStr">
        <is>
          <t>姓名</t>
        </is>
      </c>
      <c r="R14" s="140" t="inlineStr">
        <is>
          <t>管制狀態</t>
        </is>
      </c>
      <c r="S14" s="140" t="inlineStr">
        <is>
          <t>操作建議</t>
        </is>
      </c>
    </row>
    <row r="15" ht="30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inlineStr"/>
      <c r="J15" s="45" t="n"/>
      <c r="K15" s="141">
        <f>IFERROR(IF([@最後到驗日]="","",今日-[@最後到驗日]),"")</f>
        <v/>
      </c>
      <c r="L15" s="141">
        <f>IFERROR(IF([@管制情形]="",0,IF(OR(SUMPRODUCT(--ISNUMBER(SEARCH({"已驗","已到驗","通緝","強採","在監"},[@管制情形])))&gt;0,AND(ISNUMBER([@距今天數]),[@距今天數]&lt;=30)),1,0)),0)</f>
        <v/>
      </c>
      <c r="M15" s="15">
        <f>IFERROR(IF([@管制情形]="","○ 未填",IF(ISNUMBER(SEARCH("解除",[@管制情形])),"○ 結束",IF(AND(ISNUMBER([@距今天數]),[@距今天數]&gt;30),"● 紅",IF([@是否到驗]=1,"● 綠","⚠ 黃")))),"")</f>
        <v/>
      </c>
      <c r="N15" s="141">
        <f>IFERROR(IF(OR(ISNUMBER(SEARCH("未到驗",[@管制情形])),AND(ISNUMBER([@距今天數]),[@距今天數]&gt;30)),1,0),0)</f>
        <v/>
      </c>
      <c r="P15" s="15">
        <f>IFERROR(INDEX(Tbl毒調[編號],MATCH(1,$V$100:$V$169,0)),"")</f>
        <v/>
      </c>
      <c r="Q15" s="13">
        <f>IFERROR(INDEX(Tbl毒調[姓名],MATCH(1,$V$100:$V$169,0)),"")</f>
        <v/>
      </c>
      <c r="R15" s="142">
        <f>IFERROR(INDEX(Tbl毒調[管制情形],MATCH(1,$V$100:$V$169,0)),"")</f>
        <v/>
      </c>
      <c r="S15" s="143">
        <f>IF(P15="","","聲請強採書（30 日內）")</f>
        <v/>
      </c>
    </row>
    <row r="16" ht="30" customHeight="1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45" t="n"/>
      <c r="K16" s="141">
        <f>IFERROR(IF([@最後到驗日]="","",今日-[@最後到驗日]),"")</f>
        <v/>
      </c>
      <c r="L16" s="141">
        <f>IFERROR(IF([@管制情形]="",0,IF(OR(SUMPRODUCT(--ISNUMBER(SEARCH({"已驗","已到驗","通緝","強採","在監"},[@管制情形])))&gt;0,AND(ISNUMBER([@距今天數]),[@距今天數]&lt;=30)),1,0)),0)</f>
        <v/>
      </c>
      <c r="M16" s="15">
        <f>IFERROR(IF([@管制情形]="","○ 未填",IF(ISNUMBER(SEARCH("解除",[@管制情形])),"○ 結束",IF(AND(ISNUMBER([@距今天數]),[@距今天數]&gt;30),"● 紅",IF([@是否到驗]=1,"● 綠","⚠ 黃")))),"")</f>
        <v/>
      </c>
      <c r="N16" s="141">
        <f>IFERROR(IF(OR(ISNUMBER(SEARCH("未到驗",[@管制情形])),AND(ISNUMBER([@距今天數]),[@距今天數]&gt;30)),1,0),0)</f>
        <v/>
      </c>
      <c r="P16" s="15">
        <f>IFERROR(INDEX(Tbl毒調[編號],MATCH(2,$V$100:$V$169,0)),"")</f>
        <v/>
      </c>
      <c r="Q16" s="13">
        <f>IFERROR(INDEX(Tbl毒調[姓名],MATCH(2,$V$100:$V$169,0)),"")</f>
        <v/>
      </c>
      <c r="R16" s="142">
        <f>IFERROR(INDEX(Tbl毒調[管制情形],MATCH(2,$V$100:$V$169,0)),"")</f>
        <v/>
      </c>
      <c r="S16" s="143">
        <f>IF(P16="","","聲請強採書（30 日內）")</f>
        <v/>
      </c>
    </row>
    <row r="17" ht="30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45" t="n"/>
      <c r="K17" s="141">
        <f>IFERROR(IF([@最後到驗日]="","",今日-[@最後到驗日]),"")</f>
        <v/>
      </c>
      <c r="L17" s="141">
        <f>IFERROR(IF([@管制情形]="",0,IF(OR(SUMPRODUCT(--ISNUMBER(SEARCH({"已驗","已到驗","通緝","強採","在監"},[@管制情形])))&gt;0,AND(ISNUMBER([@距今天數]),[@距今天數]&lt;=30)),1,0)),0)</f>
        <v/>
      </c>
      <c r="M17" s="15">
        <f>IFERROR(IF([@管制情形]="","○ 未填",IF(ISNUMBER(SEARCH("解除",[@管制情形])),"○ 結束",IF(AND(ISNUMBER([@距今天數]),[@距今天數]&gt;30),"● 紅",IF([@是否到驗]=1,"● 綠","⚠ 黃")))),"")</f>
        <v/>
      </c>
      <c r="N17" s="141">
        <f>IFERROR(IF(OR(ISNUMBER(SEARCH("未到驗",[@管制情形])),AND(ISNUMBER([@距今天數]),[@距今天數]&gt;30)),1,0),0)</f>
        <v/>
      </c>
      <c r="P17" s="15">
        <f>IFERROR(INDEX(Tbl毒調[編號],MATCH(3,$V$100:$V$169,0)),"")</f>
        <v/>
      </c>
      <c r="Q17" s="13">
        <f>IFERROR(INDEX(Tbl毒調[姓名],MATCH(3,$V$100:$V$169,0)),"")</f>
        <v/>
      </c>
      <c r="R17" s="142">
        <f>IFERROR(INDEX(Tbl毒調[管制情形],MATCH(3,$V$100:$V$169,0)),"")</f>
        <v/>
      </c>
      <c r="S17" s="143">
        <f>IF(P17="","","聲請強採書（30 日內）")</f>
        <v/>
      </c>
    </row>
    <row r="18" ht="30" customHeight="1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45" t="n"/>
      <c r="K18" s="141">
        <f>IFERROR(IF([@最後到驗日]="","",今日-[@最後到驗日]),"")</f>
        <v/>
      </c>
      <c r="L18" s="141">
        <f>IFERROR(IF([@管制情形]="",0,IF(OR(SUMPRODUCT(--ISNUMBER(SEARCH({"已驗","已到驗","通緝","強採","在監"},[@管制情形])))&gt;0,AND(ISNUMBER([@距今天數]),[@距今天數]&lt;=30)),1,0)),0)</f>
        <v/>
      </c>
      <c r="M18" s="15">
        <f>IFERROR(IF([@管制情形]="","○ 未填",IF(ISNUMBER(SEARCH("解除",[@管制情形])),"○ 結束",IF(AND(ISNUMBER([@距今天數]),[@距今天數]&gt;30),"● 紅",IF([@是否到驗]=1,"● 綠","⚠ 黃")))),"")</f>
        <v/>
      </c>
      <c r="N18" s="141">
        <f>IFERROR(IF(OR(ISNUMBER(SEARCH("未到驗",[@管制情形])),AND(ISNUMBER([@距今天數]),[@距今天數]&gt;30)),1,0),0)</f>
        <v/>
      </c>
      <c r="P18" s="15">
        <f>IFERROR(INDEX(Tbl毒調[編號],MATCH(4,$V$100:$V$169,0)),"")</f>
        <v/>
      </c>
      <c r="Q18" s="13">
        <f>IFERROR(INDEX(Tbl毒調[姓名],MATCH(4,$V$100:$V$169,0)),"")</f>
        <v/>
      </c>
      <c r="R18" s="142">
        <f>IFERROR(INDEX(Tbl毒調[管制情形],MATCH(4,$V$100:$V$169,0)),"")</f>
        <v/>
      </c>
      <c r="S18" s="143">
        <f>IF(P18="","","聲請強採書（30 日內）")</f>
        <v/>
      </c>
    </row>
    <row r="19" ht="30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45" t="n"/>
      <c r="K19" s="141">
        <f>IFERROR(IF([@最後到驗日]="","",今日-[@最後到驗日]),"")</f>
        <v/>
      </c>
      <c r="L19" s="141">
        <f>IFERROR(IF([@管制情形]="",0,IF(OR(SUMPRODUCT(--ISNUMBER(SEARCH({"已驗","已到驗","通緝","強採","在監"},[@管制情形])))&gt;0,AND(ISNUMBER([@距今天數]),[@距今天數]&lt;=30)),1,0)),0)</f>
        <v/>
      </c>
      <c r="M19" s="15">
        <f>IFERROR(IF([@管制情形]="","○ 未填",IF(ISNUMBER(SEARCH("解除",[@管制情形])),"○ 結束",IF(AND(ISNUMBER([@距今天數]),[@距今天數]&gt;30),"● 紅",IF([@是否到驗]=1,"● 綠","⚠ 黃")))),"")</f>
        <v/>
      </c>
      <c r="N19" s="141">
        <f>IFERROR(IF(OR(ISNUMBER(SEARCH("未到驗",[@管制情形])),AND(ISNUMBER([@距今天數]),[@距今天數]&gt;30)),1,0),0)</f>
        <v/>
      </c>
      <c r="P19" s="15">
        <f>IFERROR(INDEX(Tbl毒調[編號],MATCH(5,$V$100:$V$169,0)),"")</f>
        <v/>
      </c>
      <c r="Q19" s="13">
        <f>IFERROR(INDEX(Tbl毒調[姓名],MATCH(5,$V$100:$V$169,0)),"")</f>
        <v/>
      </c>
      <c r="R19" s="142">
        <f>IFERROR(INDEX(Tbl毒調[管制情形],MATCH(5,$V$100:$V$169,0)),"")</f>
        <v/>
      </c>
      <c r="S19" s="143">
        <f>IF(P19="","","聲請強採書（30 日內）")</f>
        <v/>
      </c>
    </row>
    <row r="20" ht="30" customHeight="1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45" t="n"/>
      <c r="K20" s="141">
        <f>IFERROR(IF([@最後到驗日]="","",今日-[@最後到驗日]),"")</f>
        <v/>
      </c>
      <c r="L20" s="141">
        <f>IFERROR(IF([@管制情形]="",0,IF(OR(SUMPRODUCT(--ISNUMBER(SEARCH({"已驗","已到驗","通緝","強採","在監"},[@管制情形])))&gt;0,AND(ISNUMBER([@距今天數]),[@距今天數]&lt;=30)),1,0)),0)</f>
        <v/>
      </c>
      <c r="M20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0" s="141">
        <f>IFERROR(IF(OR(ISNUMBER(SEARCH("未到驗",[@管制情形])),AND(ISNUMBER([@距今天數]),[@距今天數]&gt;30)),1,0),0)</f>
        <v/>
      </c>
      <c r="P20" s="15">
        <f>IFERROR(INDEX(Tbl毒調[編號],MATCH(6,$V$100:$V$169,0)),"")</f>
        <v/>
      </c>
      <c r="Q20" s="13">
        <f>IFERROR(INDEX(Tbl毒調[姓名],MATCH(6,$V$100:$V$169,0)),"")</f>
        <v/>
      </c>
      <c r="R20" s="142">
        <f>IFERROR(INDEX(Tbl毒調[管制情形],MATCH(6,$V$100:$V$169,0)),"")</f>
        <v/>
      </c>
      <c r="S20" s="143">
        <f>IF(P20="","","聲請強採書（30 日內）")</f>
        <v/>
      </c>
    </row>
    <row r="21" ht="30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45" t="n"/>
      <c r="K21" s="141">
        <f>IFERROR(IF([@最後到驗日]="","",今日-[@最後到驗日]),"")</f>
        <v/>
      </c>
      <c r="L21" s="141">
        <f>IFERROR(IF([@管制情形]="",0,IF(OR(SUMPRODUCT(--ISNUMBER(SEARCH({"已驗","已到驗","通緝","強採","在監"},[@管制情形])))&gt;0,AND(ISNUMBER([@距今天數]),[@距今天數]&lt;=30)),1,0)),0)</f>
        <v/>
      </c>
      <c r="M21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1" s="141">
        <f>IFERROR(IF(OR(ISNUMBER(SEARCH("未到驗",[@管制情形])),AND(ISNUMBER([@距今天數]),[@距今天數]&gt;30)),1,0),0)</f>
        <v/>
      </c>
      <c r="P21" s="15">
        <f>IFERROR(INDEX(Tbl毒調[編號],MATCH(7,$V$100:$V$169,0)),"")</f>
        <v/>
      </c>
      <c r="Q21" s="13">
        <f>IFERROR(INDEX(Tbl毒調[姓名],MATCH(7,$V$100:$V$169,0)),"")</f>
        <v/>
      </c>
      <c r="R21" s="142">
        <f>IFERROR(INDEX(Tbl毒調[管制情形],MATCH(7,$V$100:$V$169,0)),"")</f>
        <v/>
      </c>
      <c r="S21" s="143">
        <f>IF(P21="","","聲請強採書（30 日內）")</f>
        <v/>
      </c>
    </row>
    <row r="22" ht="30" customHeight="1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45" t="n"/>
      <c r="K22" s="141">
        <f>IFERROR(IF([@最後到驗日]="","",今日-[@最後到驗日]),"")</f>
        <v/>
      </c>
      <c r="L22" s="141">
        <f>IFERROR(IF([@管制情形]="",0,IF(OR(SUMPRODUCT(--ISNUMBER(SEARCH({"已驗","已到驗","通緝","強採","在監"},[@管制情形])))&gt;0,AND(ISNUMBER([@距今天數]),[@距今天數]&lt;=30)),1,0)),0)</f>
        <v/>
      </c>
      <c r="M22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2" s="141">
        <f>IFERROR(IF(OR(ISNUMBER(SEARCH("未到驗",[@管制情形])),AND(ISNUMBER([@距今天數]),[@距今天數]&gt;30)),1,0),0)</f>
        <v/>
      </c>
      <c r="P22" s="15">
        <f>IFERROR(INDEX(Tbl毒調[編號],MATCH(8,$V$100:$V$169,0)),"")</f>
        <v/>
      </c>
      <c r="Q22" s="13">
        <f>IFERROR(INDEX(Tbl毒調[姓名],MATCH(8,$V$100:$V$169,0)),"")</f>
        <v/>
      </c>
      <c r="R22" s="142">
        <f>IFERROR(INDEX(Tbl毒調[管制情形],MATCH(8,$V$100:$V$169,0)),"")</f>
        <v/>
      </c>
      <c r="S22" s="143">
        <f>IF(P22="","","聲請強採書（30 日內）")</f>
        <v/>
      </c>
    </row>
    <row r="23" ht="30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45" t="n"/>
      <c r="K23" s="141">
        <f>IFERROR(IF([@最後到驗日]="","",今日-[@最後到驗日]),"")</f>
        <v/>
      </c>
      <c r="L23" s="141">
        <f>IFERROR(IF([@管制情形]="",0,IF(OR(SUMPRODUCT(--ISNUMBER(SEARCH({"已驗","已到驗","通緝","強採","在監"},[@管制情形])))&gt;0,AND(ISNUMBER([@距今天數]),[@距今天數]&lt;=30)),1,0)),0)</f>
        <v/>
      </c>
      <c r="M23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3" s="141">
        <f>IFERROR(IF(OR(ISNUMBER(SEARCH("未到驗",[@管制情形])),AND(ISNUMBER([@距今天數]),[@距今天數]&gt;30)),1,0),0)</f>
        <v/>
      </c>
      <c r="P23" s="15">
        <f>IFERROR(INDEX(Tbl毒調[編號],MATCH(9,$V$100:$V$169,0)),"")</f>
        <v/>
      </c>
      <c r="Q23" s="13">
        <f>IFERROR(INDEX(Tbl毒調[姓名],MATCH(9,$V$100:$V$169,0)),"")</f>
        <v/>
      </c>
      <c r="R23" s="142">
        <f>IFERROR(INDEX(Tbl毒調[管制情形],MATCH(9,$V$100:$V$169,0)),"")</f>
        <v/>
      </c>
      <c r="S23" s="143">
        <f>IF(P23="","","聲請強採書（30 日內）")</f>
        <v/>
      </c>
    </row>
    <row r="24" ht="30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45" t="n"/>
      <c r="K24" s="141">
        <f>IFERROR(IF([@最後到驗日]="","",今日-[@最後到驗日]),"")</f>
        <v/>
      </c>
      <c r="L24" s="141">
        <f>IFERROR(IF([@管制情形]="",0,IF(OR(SUMPRODUCT(--ISNUMBER(SEARCH({"已驗","已到驗","通緝","強採","在監"},[@管制情形])))&gt;0,AND(ISNUMBER([@距今天數]),[@距今天數]&lt;=30)),1,0)),0)</f>
        <v/>
      </c>
      <c r="M24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4" s="141">
        <f>IFERROR(IF(OR(ISNUMBER(SEARCH("未到驗",[@管制情形])),AND(ISNUMBER([@距今天數]),[@距今天數]&gt;30)),1,0),0)</f>
        <v/>
      </c>
      <c r="P24" s="15">
        <f>IFERROR(INDEX(Tbl毒調[編號],MATCH(10,$V$100:$V$169,0)),"")</f>
        <v/>
      </c>
      <c r="Q24" s="13">
        <f>IFERROR(INDEX(Tbl毒調[姓名],MATCH(10,$V$100:$V$169,0)),"")</f>
        <v/>
      </c>
      <c r="R24" s="142">
        <f>IFERROR(INDEX(Tbl毒調[管制情形],MATCH(10,$V$100:$V$169,0)),"")</f>
        <v/>
      </c>
      <c r="S24" s="143">
        <f>IF(P24="","","聲請強採書（30 日內）")</f>
        <v/>
      </c>
    </row>
    <row r="25" ht="30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45" t="n"/>
      <c r="K25" s="141">
        <f>IFERROR(IF([@最後到驗日]="","",今日-[@最後到驗日]),"")</f>
        <v/>
      </c>
      <c r="L25" s="141">
        <f>IFERROR(IF([@管制情形]="",0,IF(OR(SUMPRODUCT(--ISNUMBER(SEARCH({"已驗","已到驗","通緝","強採","在監"},[@管制情形])))&gt;0,AND(ISNUMBER([@距今天數]),[@距今天數]&lt;=30)),1,0)),0)</f>
        <v/>
      </c>
      <c r="M25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5" s="141">
        <f>IFERROR(IF(OR(ISNUMBER(SEARCH("未到驗",[@管制情形])),AND(ISNUMBER([@距今天數]),[@距今天數]&gt;30)),1,0),0)</f>
        <v/>
      </c>
      <c r="P25" s="15">
        <f>IFERROR(INDEX(Tbl毒調[編號],MATCH(11,$V$100:$V$169,0)),"")</f>
        <v/>
      </c>
      <c r="Q25" s="13">
        <f>IFERROR(INDEX(Tbl毒調[姓名],MATCH(11,$V$100:$V$169,0)),"")</f>
        <v/>
      </c>
      <c r="R25" s="142">
        <f>IFERROR(INDEX(Tbl毒調[管制情形],MATCH(11,$V$100:$V$169,0)),"")</f>
        <v/>
      </c>
      <c r="S25" s="143">
        <f>IF(P25="","","聲請強採書（30 日內）")</f>
        <v/>
      </c>
    </row>
    <row r="26" ht="30" customHeight="1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45" t="n"/>
      <c r="K26" s="141">
        <f>IFERROR(IF([@最後到驗日]="","",今日-[@最後到驗日]),"")</f>
        <v/>
      </c>
      <c r="L26" s="141">
        <f>IFERROR(IF([@管制情形]="",0,IF(OR(SUMPRODUCT(--ISNUMBER(SEARCH({"已驗","已到驗","通緝","強採","在監"},[@管制情形])))&gt;0,AND(ISNUMBER([@距今天數]),[@距今天數]&lt;=30)),1,0)),0)</f>
        <v/>
      </c>
      <c r="M26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6" s="141">
        <f>IFERROR(IF(OR(ISNUMBER(SEARCH("未到驗",[@管制情形])),AND(ISNUMBER([@距今天數]),[@距今天數]&gt;30)),1,0),0)</f>
        <v/>
      </c>
      <c r="P26" s="15">
        <f>IFERROR(INDEX(Tbl毒調[編號],MATCH(12,$V$100:$V$169,0)),"")</f>
        <v/>
      </c>
      <c r="Q26" s="13">
        <f>IFERROR(INDEX(Tbl毒調[姓名],MATCH(12,$V$100:$V$169,0)),"")</f>
        <v/>
      </c>
      <c r="R26" s="142">
        <f>IFERROR(INDEX(Tbl毒調[管制情形],MATCH(12,$V$100:$V$169,0)),"")</f>
        <v/>
      </c>
      <c r="S26" s="143">
        <f>IF(P26="","","聲請強採書（30 日內）")</f>
        <v/>
      </c>
    </row>
    <row r="27" ht="30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45" t="n"/>
      <c r="K27" s="141">
        <f>IFERROR(IF([@最後到驗日]="","",今日-[@最後到驗日]),"")</f>
        <v/>
      </c>
      <c r="L27" s="141">
        <f>IFERROR(IF([@管制情形]="",0,IF(OR(SUMPRODUCT(--ISNUMBER(SEARCH({"已驗","已到驗","通緝","強採","在監"},[@管制情形])))&gt;0,AND(ISNUMBER([@距今天數]),[@距今天數]&lt;=30)),1,0)),0)</f>
        <v/>
      </c>
      <c r="M27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7" s="141">
        <f>IFERROR(IF(OR(ISNUMBER(SEARCH("未到驗",[@管制情形])),AND(ISNUMBER([@距今天數]),[@距今天數]&gt;30)),1,0),0)</f>
        <v/>
      </c>
      <c r="P27" s="15">
        <f>IFERROR(INDEX(Tbl毒調[編號],MATCH(13,$V$100:$V$169,0)),"")</f>
        <v/>
      </c>
      <c r="Q27" s="13">
        <f>IFERROR(INDEX(Tbl毒調[姓名],MATCH(13,$V$100:$V$169,0)),"")</f>
        <v/>
      </c>
      <c r="R27" s="142">
        <f>IFERROR(INDEX(Tbl毒調[管制情形],MATCH(13,$V$100:$V$169,0)),"")</f>
        <v/>
      </c>
      <c r="S27" s="143">
        <f>IF(P27="","","聲請強採書（30 日內）")</f>
        <v/>
      </c>
    </row>
    <row r="28" ht="30" customHeight="1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45" t="n"/>
      <c r="K28" s="141">
        <f>IFERROR(IF([@最後到驗日]="","",今日-[@最後到驗日]),"")</f>
        <v/>
      </c>
      <c r="L28" s="141">
        <f>IFERROR(IF([@管制情形]="",0,IF(OR(SUMPRODUCT(--ISNUMBER(SEARCH({"已驗","已到驗","通緝","強採","在監"},[@管制情形])))&gt;0,AND(ISNUMBER([@距今天數]),[@距今天數]&lt;=30)),1,0)),0)</f>
        <v/>
      </c>
      <c r="M28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8" s="141">
        <f>IFERROR(IF(OR(ISNUMBER(SEARCH("未到驗",[@管制情形])),AND(ISNUMBER([@距今天數]),[@距今天數]&gt;30)),1,0),0)</f>
        <v/>
      </c>
      <c r="P28" s="15">
        <f>IFERROR(INDEX(Tbl毒調[編號],MATCH(14,$V$100:$V$169,0)),"")</f>
        <v/>
      </c>
      <c r="Q28" s="13">
        <f>IFERROR(INDEX(Tbl毒調[姓名],MATCH(14,$V$100:$V$169,0)),"")</f>
        <v/>
      </c>
      <c r="R28" s="142">
        <f>IFERROR(INDEX(Tbl毒調[管制情形],MATCH(14,$V$100:$V$169,0)),"")</f>
        <v/>
      </c>
      <c r="S28" s="143">
        <f>IF(P28="","","聲請強採書（30 日內）")</f>
        <v/>
      </c>
    </row>
    <row r="29" ht="30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45" t="n"/>
      <c r="K29" s="141">
        <f>IFERROR(IF([@最後到驗日]="","",今日-[@最後到驗日]),"")</f>
        <v/>
      </c>
      <c r="L29" s="141">
        <f>IFERROR(IF([@管制情形]="",0,IF(OR(SUMPRODUCT(--ISNUMBER(SEARCH({"已驗","已到驗","通緝","強採","在監"},[@管制情形])))&gt;0,AND(ISNUMBER([@距今天數]),[@距今天數]&lt;=30)),1,0)),0)</f>
        <v/>
      </c>
      <c r="M29" s="15">
        <f>IFERROR(IF([@管制情形]="","○ 未填",IF(ISNUMBER(SEARCH("解除",[@管制情形])),"○ 結束",IF(AND(ISNUMBER([@距今天數]),[@距今天數]&gt;30),"● 紅",IF([@是否到驗]=1,"● 綠","⚠ 黃")))),"")</f>
        <v/>
      </c>
      <c r="N29" s="141">
        <f>IFERROR(IF(OR(ISNUMBER(SEARCH("未到驗",[@管制情形])),AND(ISNUMBER([@距今天數]),[@距今天數]&gt;30)),1,0),0)</f>
        <v/>
      </c>
      <c r="P29" s="15">
        <f>IFERROR(INDEX(Tbl毒調[編號],MATCH(15,$V$100:$V$169,0)),"")</f>
        <v/>
      </c>
      <c r="Q29" s="13">
        <f>IFERROR(INDEX(Tbl毒調[姓名],MATCH(15,$V$100:$V$169,0)),"")</f>
        <v/>
      </c>
      <c r="R29" s="142">
        <f>IFERROR(INDEX(Tbl毒調[管制情形],MATCH(15,$V$100:$V$169,0)),"")</f>
        <v/>
      </c>
      <c r="S29" s="143">
        <f>IF(P29="","","聲請強採書（30 日內）")</f>
        <v/>
      </c>
    </row>
    <row r="30" ht="30" customHeight="1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45" t="n"/>
      <c r="K30" s="141">
        <f>IFERROR(IF([@最後到驗日]="","",今日-[@最後到驗日]),"")</f>
        <v/>
      </c>
      <c r="L30" s="141">
        <f>IFERROR(IF([@管制情形]="",0,IF(OR(SUMPRODUCT(--ISNUMBER(SEARCH({"已驗","已到驗","通緝","強採","在監"},[@管制情形])))&gt;0,AND(ISNUMBER([@距今天數]),[@距今天數]&lt;=30)),1,0)),0)</f>
        <v/>
      </c>
      <c r="M30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0" s="141">
        <f>IFERROR(IF(OR(ISNUMBER(SEARCH("未到驗",[@管制情形])),AND(ISNUMBER([@距今天數]),[@距今天數]&gt;30)),1,0),0)</f>
        <v/>
      </c>
      <c r="P30" s="15">
        <f>IFERROR(INDEX(Tbl毒調[編號],MATCH(16,$V$100:$V$169,0)),"")</f>
        <v/>
      </c>
      <c r="Q30" s="13">
        <f>IFERROR(INDEX(Tbl毒調[姓名],MATCH(16,$V$100:$V$169,0)),"")</f>
        <v/>
      </c>
      <c r="R30" s="142">
        <f>IFERROR(INDEX(Tbl毒調[管制情形],MATCH(16,$V$100:$V$169,0)),"")</f>
        <v/>
      </c>
      <c r="S30" s="143">
        <f>IF(P30="","","聲請強採書（30 日內）")</f>
        <v/>
      </c>
    </row>
    <row r="31" ht="30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45" t="n"/>
      <c r="K31" s="141">
        <f>IFERROR(IF([@最後到驗日]="","",今日-[@最後到驗日]),"")</f>
        <v/>
      </c>
      <c r="L31" s="141">
        <f>IFERROR(IF([@管制情形]="",0,IF(OR(SUMPRODUCT(--ISNUMBER(SEARCH({"已驗","已到驗","通緝","強採","在監"},[@管制情形])))&gt;0,AND(ISNUMBER([@距今天數]),[@距今天數]&lt;=30)),1,0)),0)</f>
        <v/>
      </c>
      <c r="M31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1" s="141">
        <f>IFERROR(IF(OR(ISNUMBER(SEARCH("未到驗",[@管制情形])),AND(ISNUMBER([@距今天數]),[@距今天數]&gt;30)),1,0),0)</f>
        <v/>
      </c>
      <c r="P31" s="82">
        <f>"本表最多顯示 16 個候選；超出請至主表 H 欄篩選『未到驗』或最後到驗日逾 30 日"</f>
        <v/>
      </c>
    </row>
    <row r="32" ht="30" customHeigh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45" t="n"/>
      <c r="K32" s="141">
        <f>IFERROR(IF([@最後到驗日]="","",今日-[@最後到驗日]),"")</f>
        <v/>
      </c>
      <c r="L32" s="141">
        <f>IFERROR(IF([@管制情形]="",0,IF(OR(SUMPRODUCT(--ISNUMBER(SEARCH({"已驗","已到驗","通緝","強採","在監"},[@管制情形])))&gt;0,AND(ISNUMBER([@距今天數]),[@距今天數]&lt;=30)),1,0)),0)</f>
        <v/>
      </c>
      <c r="M32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2" s="141">
        <f>IFERROR(IF(OR(ISNUMBER(SEARCH("未到驗",[@管制情形])),AND(ISNUMBER([@距今天數]),[@距今天數]&gt;30)),1,0),0)</f>
        <v/>
      </c>
    </row>
    <row r="33" ht="30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45" t="n"/>
      <c r="K33" s="141">
        <f>IFERROR(IF([@最後到驗日]="","",今日-[@最後到驗日]),"")</f>
        <v/>
      </c>
      <c r="L33" s="141">
        <f>IFERROR(IF([@管制情形]="",0,IF(OR(SUMPRODUCT(--ISNUMBER(SEARCH({"已驗","已到驗","通緝","強採","在監"},[@管制情形])))&gt;0,AND(ISNUMBER([@距今天數]),[@距今天數]&lt;=30)),1,0)),0)</f>
        <v/>
      </c>
      <c r="M33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3" s="141">
        <f>IFERROR(IF(OR(ISNUMBER(SEARCH("未到驗",[@管制情形])),AND(ISNUMBER([@距今天數]),[@距今天數]&gt;30)),1,0),0)</f>
        <v/>
      </c>
    </row>
    <row r="34" ht="30" customHeight="1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45" t="n"/>
      <c r="K34" s="141">
        <f>IFERROR(IF([@最後到驗日]="","",今日-[@最後到驗日]),"")</f>
        <v/>
      </c>
      <c r="L34" s="141">
        <f>IFERROR(IF([@管制情形]="",0,IF(OR(SUMPRODUCT(--ISNUMBER(SEARCH({"已驗","已到驗","通緝","強採","在監"},[@管制情形])))&gt;0,AND(ISNUMBER([@距今天數]),[@距今天數]&lt;=30)),1,0)),0)</f>
        <v/>
      </c>
      <c r="M34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4" s="141">
        <f>IFERROR(IF(OR(ISNUMBER(SEARCH("未到驗",[@管制情形])),AND(ISNUMBER([@距今天數]),[@距今天數]&gt;30)),1,0),0)</f>
        <v/>
      </c>
    </row>
    <row r="35" ht="30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45" t="n"/>
      <c r="K35" s="141">
        <f>IFERROR(IF([@最後到驗日]="","",今日-[@最後到驗日]),"")</f>
        <v/>
      </c>
      <c r="L35" s="141">
        <f>IFERROR(IF([@管制情形]="",0,IF(OR(SUMPRODUCT(--ISNUMBER(SEARCH({"已驗","已到驗","通緝","強採","在監"},[@管制情形])))&gt;0,AND(ISNUMBER([@距今天數]),[@距今天數]&lt;=30)),1,0)),0)</f>
        <v/>
      </c>
      <c r="M35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5" s="141">
        <f>IFERROR(IF(OR(ISNUMBER(SEARCH("未到驗",[@管制情形])),AND(ISNUMBER([@距今天數]),[@距今天數]&gt;30)),1,0),0)</f>
        <v/>
      </c>
    </row>
    <row r="36" ht="30" customHeight="1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45" t="n"/>
      <c r="K36" s="141">
        <f>IFERROR(IF([@最後到驗日]="","",今日-[@最後到驗日]),"")</f>
        <v/>
      </c>
      <c r="L36" s="141">
        <f>IFERROR(IF([@管制情形]="",0,IF(OR(SUMPRODUCT(--ISNUMBER(SEARCH({"已驗","已到驗","通緝","強採","在監"},[@管制情形])))&gt;0,AND(ISNUMBER([@距今天數]),[@距今天數]&lt;=30)),1,0)),0)</f>
        <v/>
      </c>
      <c r="M36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6" s="141">
        <f>IFERROR(IF(OR(ISNUMBER(SEARCH("未到驗",[@管制情形])),AND(ISNUMBER([@距今天數]),[@距今天數]&gt;30)),1,0),0)</f>
        <v/>
      </c>
    </row>
    <row r="37" ht="30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45" t="n"/>
      <c r="K37" s="141">
        <f>IFERROR(IF([@最後到驗日]="","",今日-[@最後到驗日]),"")</f>
        <v/>
      </c>
      <c r="L37" s="141">
        <f>IFERROR(IF([@管制情形]="",0,IF(OR(SUMPRODUCT(--ISNUMBER(SEARCH({"已驗","已到驗","通緝","強採","在監"},[@管制情形])))&gt;0,AND(ISNUMBER([@距今天數]),[@距今天數]&lt;=30)),1,0)),0)</f>
        <v/>
      </c>
      <c r="M37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7" s="141">
        <f>IFERROR(IF(OR(ISNUMBER(SEARCH("未到驗",[@管制情形])),AND(ISNUMBER([@距今天數]),[@距今天數]&gt;30)),1,0),0)</f>
        <v/>
      </c>
    </row>
    <row r="38" ht="30" customHeight="1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45" t="n"/>
      <c r="K38" s="141">
        <f>IFERROR(IF([@最後到驗日]="","",今日-[@最後到驗日]),"")</f>
        <v/>
      </c>
      <c r="L38" s="141">
        <f>IFERROR(IF([@管制情形]="",0,IF(OR(SUMPRODUCT(--ISNUMBER(SEARCH({"已驗","已到驗","通緝","強採","在監"},[@管制情形])))&gt;0,AND(ISNUMBER([@距今天數]),[@距今天數]&lt;=30)),1,0)),0)</f>
        <v/>
      </c>
      <c r="M38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8" s="141">
        <f>IFERROR(IF(OR(ISNUMBER(SEARCH("未到驗",[@管制情形])),AND(ISNUMBER([@距今天數]),[@距今天數]&gt;30)),1,0),0)</f>
        <v/>
      </c>
    </row>
    <row r="39" ht="30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45" t="n"/>
      <c r="K39" s="141">
        <f>IFERROR(IF([@最後到驗日]="","",今日-[@最後到驗日]),"")</f>
        <v/>
      </c>
      <c r="L39" s="141">
        <f>IFERROR(IF([@管制情形]="",0,IF(OR(SUMPRODUCT(--ISNUMBER(SEARCH({"已驗","已到驗","通緝","強採","在監"},[@管制情形])))&gt;0,AND(ISNUMBER([@距今天數]),[@距今天數]&lt;=30)),1,0)),0)</f>
        <v/>
      </c>
      <c r="M39" s="15">
        <f>IFERROR(IF([@管制情形]="","○ 未填",IF(ISNUMBER(SEARCH("解除",[@管制情形])),"○ 結束",IF(AND(ISNUMBER([@距今天數]),[@距今天數]&gt;30),"● 紅",IF([@是否到驗]=1,"● 綠","⚠ 黃")))),"")</f>
        <v/>
      </c>
      <c r="N39" s="141">
        <f>IFERROR(IF(OR(ISNUMBER(SEARCH("未到驗",[@管制情形])),AND(ISNUMBER([@距今天數]),[@距今天數]&gt;30)),1,0),0)</f>
        <v/>
      </c>
    </row>
    <row r="40" ht="30" customHeight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45" t="n"/>
      <c r="K40" s="141">
        <f>IFERROR(IF([@最後到驗日]="","",今日-[@最後到驗日]),"")</f>
        <v/>
      </c>
      <c r="L40" s="141">
        <f>IFERROR(IF([@管制情形]="",0,IF(OR(SUMPRODUCT(--ISNUMBER(SEARCH({"已驗","已到驗","通緝","強採","在監"},[@管制情形])))&gt;0,AND(ISNUMBER([@距今天數]),[@距今天數]&lt;=30)),1,0)),0)</f>
        <v/>
      </c>
      <c r="M40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0" s="141">
        <f>IFERROR(IF(OR(ISNUMBER(SEARCH("未到驗",[@管制情形])),AND(ISNUMBER([@距今天數]),[@距今天數]&gt;30)),1,0),0)</f>
        <v/>
      </c>
    </row>
    <row r="41" ht="30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45" t="n"/>
      <c r="K41" s="141">
        <f>IFERROR(IF([@最後到驗日]="","",今日-[@最後到驗日]),"")</f>
        <v/>
      </c>
      <c r="L41" s="141">
        <f>IFERROR(IF([@管制情形]="",0,IF(OR(SUMPRODUCT(--ISNUMBER(SEARCH({"已驗","已到驗","通緝","強採","在監"},[@管制情形])))&gt;0,AND(ISNUMBER([@距今天數]),[@距今天數]&lt;=30)),1,0)),0)</f>
        <v/>
      </c>
      <c r="M41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1" s="141">
        <f>IFERROR(IF(OR(ISNUMBER(SEARCH("未到驗",[@管制情形])),AND(ISNUMBER([@距今天數]),[@距今天數]&gt;30)),1,0),0)</f>
        <v/>
      </c>
    </row>
    <row r="42" ht="30" customHeight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45" t="n"/>
      <c r="K42" s="141">
        <f>IFERROR(IF([@最後到驗日]="","",今日-[@最後到驗日]),"")</f>
        <v/>
      </c>
      <c r="L42" s="141">
        <f>IFERROR(IF([@管制情形]="",0,IF(OR(SUMPRODUCT(--ISNUMBER(SEARCH({"已驗","已到驗","通緝","強採","在監"},[@管制情形])))&gt;0,AND(ISNUMBER([@距今天數]),[@距今天數]&lt;=30)),1,0)),0)</f>
        <v/>
      </c>
      <c r="M42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2" s="141">
        <f>IFERROR(IF(OR(ISNUMBER(SEARCH("未到驗",[@管制情形])),AND(ISNUMBER([@距今天數]),[@距今天數]&gt;30)),1,0),0)</f>
        <v/>
      </c>
    </row>
    <row r="43" ht="30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45" t="n"/>
      <c r="K43" s="141">
        <f>IFERROR(IF([@最後到驗日]="","",今日-[@最後到驗日]),"")</f>
        <v/>
      </c>
      <c r="L43" s="141">
        <f>IFERROR(IF([@管制情形]="",0,IF(OR(SUMPRODUCT(--ISNUMBER(SEARCH({"已驗","已到驗","通緝","強採","在監"},[@管制情形])))&gt;0,AND(ISNUMBER([@距今天數]),[@距今天數]&lt;=30)),1,0)),0)</f>
        <v/>
      </c>
      <c r="M43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3" s="141">
        <f>IFERROR(IF(OR(ISNUMBER(SEARCH("未到驗",[@管制情形])),AND(ISNUMBER([@距今天數]),[@距今天數]&gt;30)),1,0),0)</f>
        <v/>
      </c>
    </row>
    <row r="44" ht="30" customHeight="1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45" t="n"/>
      <c r="K44" s="141">
        <f>IFERROR(IF([@最後到驗日]="","",今日-[@最後到驗日]),"")</f>
        <v/>
      </c>
      <c r="L44" s="141">
        <f>IFERROR(IF([@管制情形]="",0,IF(OR(SUMPRODUCT(--ISNUMBER(SEARCH({"已驗","已到驗","通緝","強採","在監"},[@管制情形])))&gt;0,AND(ISNUMBER([@距今天數]),[@距今天數]&lt;=30)),1,0)),0)</f>
        <v/>
      </c>
      <c r="M44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4" s="141">
        <f>IFERROR(IF(OR(ISNUMBER(SEARCH("未到驗",[@管制情形])),AND(ISNUMBER([@距今天數]),[@距今天數]&gt;30)),1,0),0)</f>
        <v/>
      </c>
    </row>
    <row r="45" ht="30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45" t="n"/>
      <c r="K45" s="141">
        <f>IFERROR(IF([@最後到驗日]="","",今日-[@最後到驗日]),"")</f>
        <v/>
      </c>
      <c r="L45" s="141">
        <f>IFERROR(IF([@管制情形]="",0,IF(OR(SUMPRODUCT(--ISNUMBER(SEARCH({"已驗","已到驗","通緝","強採","在監"},[@管制情形])))&gt;0,AND(ISNUMBER([@距今天數]),[@距今天數]&lt;=30)),1,0)),0)</f>
        <v/>
      </c>
      <c r="M45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5" s="141">
        <f>IFERROR(IF(OR(ISNUMBER(SEARCH("未到驗",[@管制情形])),AND(ISNUMBER([@距今天數]),[@距今天數]&gt;30)),1,0),0)</f>
        <v/>
      </c>
    </row>
    <row r="46" ht="30" customHeight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45" t="n"/>
      <c r="K46" s="141">
        <f>IFERROR(IF([@最後到驗日]="","",今日-[@最後到驗日]),"")</f>
        <v/>
      </c>
      <c r="L46" s="141">
        <f>IFERROR(IF([@管制情形]="",0,IF(OR(SUMPRODUCT(--ISNUMBER(SEARCH({"已驗","已到驗","通緝","強採","在監"},[@管制情形])))&gt;0,AND(ISNUMBER([@距今天數]),[@距今天數]&lt;=30)),1,0)),0)</f>
        <v/>
      </c>
      <c r="M46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6" s="141">
        <f>IFERROR(IF(OR(ISNUMBER(SEARCH("未到驗",[@管制情形])),AND(ISNUMBER([@距今天數]),[@距今天數]&gt;30)),1,0),0)</f>
        <v/>
      </c>
    </row>
    <row r="47" ht="30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45" t="n"/>
      <c r="K47" s="141">
        <f>IFERROR(IF([@最後到驗日]="","",今日-[@最後到驗日]),"")</f>
        <v/>
      </c>
      <c r="L47" s="141">
        <f>IFERROR(IF([@管制情形]="",0,IF(OR(SUMPRODUCT(--ISNUMBER(SEARCH({"已驗","已到驗","通緝","強採","在監"},[@管制情形])))&gt;0,AND(ISNUMBER([@距今天數]),[@距今天數]&lt;=30)),1,0)),0)</f>
        <v/>
      </c>
      <c r="M47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7" s="141">
        <f>IFERROR(IF(OR(ISNUMBER(SEARCH("未到驗",[@管制情形])),AND(ISNUMBER([@距今天數]),[@距今天數]&gt;30)),1,0),0)</f>
        <v/>
      </c>
    </row>
    <row r="48" ht="30" customHeight="1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45" t="n"/>
      <c r="K48" s="141">
        <f>IFERROR(IF([@最後到驗日]="","",今日-[@最後到驗日]),"")</f>
        <v/>
      </c>
      <c r="L48" s="141">
        <f>IFERROR(IF([@管制情形]="",0,IF(OR(SUMPRODUCT(--ISNUMBER(SEARCH({"已驗","已到驗","通緝","強採","在監"},[@管制情形])))&gt;0,AND(ISNUMBER([@距今天數]),[@距今天數]&lt;=30)),1,0)),0)</f>
        <v/>
      </c>
      <c r="M48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8" s="141">
        <f>IFERROR(IF(OR(ISNUMBER(SEARCH("未到驗",[@管制情形])),AND(ISNUMBER([@距今天數]),[@距今天數]&gt;30)),1,0),0)</f>
        <v/>
      </c>
    </row>
    <row r="49" ht="30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45" t="n"/>
      <c r="K49" s="141">
        <f>IFERROR(IF([@最後到驗日]="","",今日-[@最後到驗日]),"")</f>
        <v/>
      </c>
      <c r="L49" s="141">
        <f>IFERROR(IF([@管制情形]="",0,IF(OR(SUMPRODUCT(--ISNUMBER(SEARCH({"已驗","已到驗","通緝","強採","在監"},[@管制情形])))&gt;0,AND(ISNUMBER([@距今天數]),[@距今天數]&lt;=30)),1,0)),0)</f>
        <v/>
      </c>
      <c r="M49" s="15">
        <f>IFERROR(IF([@管制情形]="","○ 未填",IF(ISNUMBER(SEARCH("解除",[@管制情形])),"○ 結束",IF(AND(ISNUMBER([@距今天數]),[@距今天數]&gt;30),"● 紅",IF([@是否到驗]=1,"● 綠","⚠ 黃")))),"")</f>
        <v/>
      </c>
      <c r="N49" s="141">
        <f>IFERROR(IF(OR(ISNUMBER(SEARCH("未到驗",[@管制情形])),AND(ISNUMBER([@距今天數]),[@距今天數]&gt;30)),1,0),0)</f>
        <v/>
      </c>
    </row>
    <row r="50" ht="30" customHeight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45" t="n"/>
      <c r="K50" s="141">
        <f>IFERROR(IF([@最後到驗日]="","",今日-[@最後到驗日]),"")</f>
        <v/>
      </c>
      <c r="L50" s="141">
        <f>IFERROR(IF([@管制情形]="",0,IF(OR(SUMPRODUCT(--ISNUMBER(SEARCH({"已驗","已到驗","通緝","強採","在監"},[@管制情形])))&gt;0,AND(ISNUMBER([@距今天數]),[@距今天數]&lt;=30)),1,0)),0)</f>
        <v/>
      </c>
      <c r="M50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0" s="141">
        <f>IFERROR(IF(OR(ISNUMBER(SEARCH("未到驗",[@管制情形])),AND(ISNUMBER([@距今天數]),[@距今天數]&gt;30)),1,0),0)</f>
        <v/>
      </c>
    </row>
    <row r="51" ht="30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45" t="n"/>
      <c r="K51" s="141">
        <f>IFERROR(IF([@最後到驗日]="","",今日-[@最後到驗日]),"")</f>
        <v/>
      </c>
      <c r="L51" s="141">
        <f>IFERROR(IF([@管制情形]="",0,IF(OR(SUMPRODUCT(--ISNUMBER(SEARCH({"已驗","已到驗","通緝","強採","在監"},[@管制情形])))&gt;0,AND(ISNUMBER([@距今天數]),[@距今天數]&lt;=30)),1,0)),0)</f>
        <v/>
      </c>
      <c r="M51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1" s="141">
        <f>IFERROR(IF(OR(ISNUMBER(SEARCH("未到驗",[@管制情形])),AND(ISNUMBER([@距今天數]),[@距今天數]&gt;30)),1,0),0)</f>
        <v/>
      </c>
    </row>
    <row r="52" ht="30" customHeight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45" t="n"/>
      <c r="K52" s="141">
        <f>IFERROR(IF([@最後到驗日]="","",今日-[@最後到驗日]),"")</f>
        <v/>
      </c>
      <c r="L52" s="141">
        <f>IFERROR(IF([@管制情形]="",0,IF(OR(SUMPRODUCT(--ISNUMBER(SEARCH({"已驗","已到驗","通緝","強採","在監"},[@管制情形])))&gt;0,AND(ISNUMBER([@距今天數]),[@距今天數]&lt;=30)),1,0)),0)</f>
        <v/>
      </c>
      <c r="M52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2" s="141">
        <f>IFERROR(IF(OR(ISNUMBER(SEARCH("未到驗",[@管制情形])),AND(ISNUMBER([@距今天數]),[@距今天數]&gt;30)),1,0),0)</f>
        <v/>
      </c>
    </row>
    <row r="53" ht="30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45" t="n"/>
      <c r="K53" s="141">
        <f>IFERROR(IF([@最後到驗日]="","",今日-[@最後到驗日]),"")</f>
        <v/>
      </c>
      <c r="L53" s="141">
        <f>IFERROR(IF([@管制情形]="",0,IF(OR(SUMPRODUCT(--ISNUMBER(SEARCH({"已驗","已到驗","通緝","強採","在監"},[@管制情形])))&gt;0,AND(ISNUMBER([@距今天數]),[@距今天數]&lt;=30)),1,0)),0)</f>
        <v/>
      </c>
      <c r="M53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3" s="141">
        <f>IFERROR(IF(OR(ISNUMBER(SEARCH("未到驗",[@管制情形])),AND(ISNUMBER([@距今天數]),[@距今天數]&gt;30)),1,0),0)</f>
        <v/>
      </c>
    </row>
    <row r="54" ht="30" customHeight="1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45" t="n"/>
      <c r="K54" s="141">
        <f>IFERROR(IF([@最後到驗日]="","",今日-[@最後到驗日]),"")</f>
        <v/>
      </c>
      <c r="L54" s="141">
        <f>IFERROR(IF([@管制情形]="",0,IF(OR(SUMPRODUCT(--ISNUMBER(SEARCH({"已驗","已到驗","通緝","強採","在監"},[@管制情形])))&gt;0,AND(ISNUMBER([@距今天數]),[@距今天數]&lt;=30)),1,0)),0)</f>
        <v/>
      </c>
      <c r="M54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4" s="141">
        <f>IFERROR(IF(OR(ISNUMBER(SEARCH("未到驗",[@管制情形])),AND(ISNUMBER([@距今天數]),[@距今天數]&gt;30)),1,0),0)</f>
        <v/>
      </c>
    </row>
    <row r="55" ht="30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45" t="n"/>
      <c r="K55" s="141">
        <f>IFERROR(IF([@最後到驗日]="","",今日-[@最後到驗日]),"")</f>
        <v/>
      </c>
      <c r="L55" s="141">
        <f>IFERROR(IF([@管制情形]="",0,IF(OR(SUMPRODUCT(--ISNUMBER(SEARCH({"已驗","已到驗","通緝","強採","在監"},[@管制情形])))&gt;0,AND(ISNUMBER([@距今天數]),[@距今天數]&lt;=30)),1,0)),0)</f>
        <v/>
      </c>
      <c r="M55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5" s="141">
        <f>IFERROR(IF(OR(ISNUMBER(SEARCH("未到驗",[@管制情形])),AND(ISNUMBER([@距今天數]),[@距今天數]&gt;30)),1,0),0)</f>
        <v/>
      </c>
    </row>
    <row r="56" ht="30" customHeight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45" t="n"/>
      <c r="K56" s="141">
        <f>IFERROR(IF([@最後到驗日]="","",今日-[@最後到驗日]),"")</f>
        <v/>
      </c>
      <c r="L56" s="141">
        <f>IFERROR(IF([@管制情形]="",0,IF(OR(SUMPRODUCT(--ISNUMBER(SEARCH({"已驗","已到驗","通緝","強採","在監"},[@管制情形])))&gt;0,AND(ISNUMBER([@距今天數]),[@距今天數]&lt;=30)),1,0)),0)</f>
        <v/>
      </c>
      <c r="M56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6" s="141">
        <f>IFERROR(IF(OR(ISNUMBER(SEARCH("未到驗",[@管制情形])),AND(ISNUMBER([@距今天數]),[@距今天數]&gt;30)),1,0),0)</f>
        <v/>
      </c>
    </row>
    <row r="57" ht="30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45" t="n"/>
      <c r="K57" s="141">
        <f>IFERROR(IF([@最後到驗日]="","",今日-[@最後到驗日]),"")</f>
        <v/>
      </c>
      <c r="L57" s="141">
        <f>IFERROR(IF([@管制情形]="",0,IF(OR(SUMPRODUCT(--ISNUMBER(SEARCH({"已驗","已到驗","通緝","強採","在監"},[@管制情形])))&gt;0,AND(ISNUMBER([@距今天數]),[@距今天數]&lt;=30)),1,0)),0)</f>
        <v/>
      </c>
      <c r="M57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7" s="141">
        <f>IFERROR(IF(OR(ISNUMBER(SEARCH("未到驗",[@管制情形])),AND(ISNUMBER([@距今天數]),[@距今天數]&gt;30)),1,0),0)</f>
        <v/>
      </c>
    </row>
    <row r="58" ht="30" customHeight="1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45" t="n"/>
      <c r="K58" s="141">
        <f>IFERROR(IF([@最後到驗日]="","",今日-[@最後到驗日]),"")</f>
        <v/>
      </c>
      <c r="L58" s="141">
        <f>IFERROR(IF([@管制情形]="",0,IF(OR(SUMPRODUCT(--ISNUMBER(SEARCH({"已驗","已到驗","通緝","強採","在監"},[@管制情形])))&gt;0,AND(ISNUMBER([@距今天數]),[@距今天數]&lt;=30)),1,0)),0)</f>
        <v/>
      </c>
      <c r="M58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8" s="141">
        <f>IFERROR(IF(OR(ISNUMBER(SEARCH("未到驗",[@管制情形])),AND(ISNUMBER([@距今天數]),[@距今天數]&gt;30)),1,0),0)</f>
        <v/>
      </c>
    </row>
    <row r="59" ht="30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45" t="n"/>
      <c r="K59" s="141">
        <f>IFERROR(IF([@最後到驗日]="","",今日-[@最後到驗日]),"")</f>
        <v/>
      </c>
      <c r="L59" s="141">
        <f>IFERROR(IF([@管制情形]="",0,IF(OR(SUMPRODUCT(--ISNUMBER(SEARCH({"已驗","已到驗","通緝","強採","在監"},[@管制情形])))&gt;0,AND(ISNUMBER([@距今天數]),[@距今天數]&lt;=30)),1,0)),0)</f>
        <v/>
      </c>
      <c r="M59" s="15">
        <f>IFERROR(IF([@管制情形]="","○ 未填",IF(ISNUMBER(SEARCH("解除",[@管制情形])),"○ 結束",IF(AND(ISNUMBER([@距今天數]),[@距今天數]&gt;30),"● 紅",IF([@是否到驗]=1,"● 綠","⚠ 黃")))),"")</f>
        <v/>
      </c>
      <c r="N59" s="141">
        <f>IFERROR(IF(OR(ISNUMBER(SEARCH("未到驗",[@管制情形])),AND(ISNUMBER([@距今天數]),[@距今天數]&gt;30)),1,0),0)</f>
        <v/>
      </c>
    </row>
    <row r="60" ht="30" customHeight="1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45" t="n"/>
      <c r="K60" s="141">
        <f>IFERROR(IF([@最後到驗日]="","",今日-[@最後到驗日]),"")</f>
        <v/>
      </c>
      <c r="L60" s="141">
        <f>IFERROR(IF([@管制情形]="",0,IF(OR(SUMPRODUCT(--ISNUMBER(SEARCH({"已驗","已到驗","通緝","強採","在監"},[@管制情形])))&gt;0,AND(ISNUMBER([@距今天數]),[@距今天數]&lt;=30)),1,0)),0)</f>
        <v/>
      </c>
      <c r="M60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0" s="141">
        <f>IFERROR(IF(OR(ISNUMBER(SEARCH("未到驗",[@管制情形])),AND(ISNUMBER([@距今天數]),[@距今天數]&gt;30)),1,0),0)</f>
        <v/>
      </c>
    </row>
    <row r="61" ht="30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45" t="n"/>
      <c r="K61" s="141">
        <f>IFERROR(IF([@最後到驗日]="","",今日-[@最後到驗日]),"")</f>
        <v/>
      </c>
      <c r="L61" s="141">
        <f>IFERROR(IF([@管制情形]="",0,IF(OR(SUMPRODUCT(--ISNUMBER(SEARCH({"已驗","已到驗","通緝","強採","在監"},[@管制情形])))&gt;0,AND(ISNUMBER([@距今天數]),[@距今天數]&lt;=30)),1,0)),0)</f>
        <v/>
      </c>
      <c r="M61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1" s="141">
        <f>IFERROR(IF(OR(ISNUMBER(SEARCH("未到驗",[@管制情形])),AND(ISNUMBER([@距今天數]),[@距今天數]&gt;30)),1,0),0)</f>
        <v/>
      </c>
    </row>
    <row r="62" ht="30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45" t="n"/>
      <c r="K62" s="141">
        <f>IFERROR(IF([@最後到驗日]="","",今日-[@最後到驗日]),"")</f>
        <v/>
      </c>
      <c r="L62" s="141">
        <f>IFERROR(IF([@管制情形]="",0,IF(OR(SUMPRODUCT(--ISNUMBER(SEARCH({"已驗","已到驗","通緝","強採","在監"},[@管制情形])))&gt;0,AND(ISNUMBER([@距今天數]),[@距今天數]&lt;=30)),1,0)),0)</f>
        <v/>
      </c>
      <c r="M62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2" s="141">
        <f>IFERROR(IF(OR(ISNUMBER(SEARCH("未到驗",[@管制情形])),AND(ISNUMBER([@距今天數]),[@距今天數]&gt;30)),1,0),0)</f>
        <v/>
      </c>
    </row>
    <row r="63" ht="30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45" t="n"/>
      <c r="K63" s="141">
        <f>IFERROR(IF([@最後到驗日]="","",今日-[@最後到驗日]),"")</f>
        <v/>
      </c>
      <c r="L63" s="141">
        <f>IFERROR(IF([@管制情形]="",0,IF(OR(SUMPRODUCT(--ISNUMBER(SEARCH({"已驗","已到驗","通緝","強採","在監"},[@管制情形])))&gt;0,AND(ISNUMBER([@距今天數]),[@距今天數]&lt;=30)),1,0)),0)</f>
        <v/>
      </c>
      <c r="M63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3" s="141">
        <f>IFERROR(IF(OR(ISNUMBER(SEARCH("未到驗",[@管制情形])),AND(ISNUMBER([@距今天數]),[@距今天數]&gt;30)),1,0),0)</f>
        <v/>
      </c>
    </row>
    <row r="64" ht="30" customHeight="1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45" t="n"/>
      <c r="K64" s="141">
        <f>IFERROR(IF([@最後到驗日]="","",今日-[@最後到驗日]),"")</f>
        <v/>
      </c>
      <c r="L64" s="141">
        <f>IFERROR(IF([@管制情形]="",0,IF(OR(SUMPRODUCT(--ISNUMBER(SEARCH({"已驗","已到驗","通緝","強採","在監"},[@管制情形])))&gt;0,AND(ISNUMBER([@距今天數]),[@距今天數]&lt;=30)),1,0)),0)</f>
        <v/>
      </c>
      <c r="M64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4" s="141">
        <f>IFERROR(IF(OR(ISNUMBER(SEARCH("未到驗",[@管制情形])),AND(ISNUMBER([@距今天數]),[@距今天數]&gt;30)),1,0),0)</f>
        <v/>
      </c>
    </row>
    <row r="65" ht="30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45" t="n"/>
      <c r="K65" s="141">
        <f>IFERROR(IF([@最後到驗日]="","",今日-[@最後到驗日]),"")</f>
        <v/>
      </c>
      <c r="L65" s="141">
        <f>IFERROR(IF([@管制情形]="",0,IF(OR(SUMPRODUCT(--ISNUMBER(SEARCH({"已驗","已到驗","通緝","強採","在監"},[@管制情形])))&gt;0,AND(ISNUMBER([@距今天數]),[@距今天數]&lt;=30)),1,0)),0)</f>
        <v/>
      </c>
      <c r="M65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5" s="141">
        <f>IFERROR(IF(OR(ISNUMBER(SEARCH("未到驗",[@管制情形])),AND(ISNUMBER([@距今天數]),[@距今天數]&gt;30)),1,0),0)</f>
        <v/>
      </c>
    </row>
    <row r="66" ht="30" customHeight="1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45" t="n"/>
      <c r="K66" s="141">
        <f>IFERROR(IF([@最後到驗日]="","",今日-[@最後到驗日]),"")</f>
        <v/>
      </c>
      <c r="L66" s="141">
        <f>IFERROR(IF([@管制情形]="",0,IF(OR(SUMPRODUCT(--ISNUMBER(SEARCH({"已驗","已到驗","通緝","強採","在監"},[@管制情形])))&gt;0,AND(ISNUMBER([@距今天數]),[@距今天數]&lt;=30)),1,0)),0)</f>
        <v/>
      </c>
      <c r="M66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6" s="141">
        <f>IFERROR(IF(OR(ISNUMBER(SEARCH("未到驗",[@管制情形])),AND(ISNUMBER([@距今天數]),[@距今天數]&gt;30)),1,0),0)</f>
        <v/>
      </c>
    </row>
    <row r="67" ht="30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45" t="n"/>
      <c r="K67" s="141">
        <f>IFERROR(IF([@最後到驗日]="","",今日-[@最後到驗日]),"")</f>
        <v/>
      </c>
      <c r="L67" s="141">
        <f>IFERROR(IF([@管制情形]="",0,IF(OR(SUMPRODUCT(--ISNUMBER(SEARCH({"已驗","已到驗","通緝","強採","在監"},[@管制情形])))&gt;0,AND(ISNUMBER([@距今天數]),[@距今天數]&lt;=30)),1,0)),0)</f>
        <v/>
      </c>
      <c r="M67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7" s="141">
        <f>IFERROR(IF(OR(ISNUMBER(SEARCH("未到驗",[@管制情形])),AND(ISNUMBER([@距今天數]),[@距今天數]&gt;30)),1,0),0)</f>
        <v/>
      </c>
    </row>
    <row r="68" ht="30" customHeight="1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45" t="n"/>
      <c r="K68" s="141">
        <f>IFERROR(IF([@最後到驗日]="","",今日-[@最後到驗日]),"")</f>
        <v/>
      </c>
      <c r="L68" s="141">
        <f>IFERROR(IF([@管制情形]="",0,IF(OR(SUMPRODUCT(--ISNUMBER(SEARCH({"已驗","已到驗","通緝","強採","在監"},[@管制情形])))&gt;0,AND(ISNUMBER([@距今天數]),[@距今天數]&lt;=30)),1,0)),0)</f>
        <v/>
      </c>
      <c r="M68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8" s="141">
        <f>IFERROR(IF(OR(ISNUMBER(SEARCH("未到驗",[@管制情形])),AND(ISNUMBER([@距今天數]),[@距今天數]&gt;30)),1,0),0)</f>
        <v/>
      </c>
    </row>
    <row r="69" ht="30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45" t="n"/>
      <c r="K69" s="141">
        <f>IFERROR(IF([@最後到驗日]="","",今日-[@最後到驗日]),"")</f>
        <v/>
      </c>
      <c r="L69" s="141">
        <f>IFERROR(IF([@管制情形]="",0,IF(OR(SUMPRODUCT(--ISNUMBER(SEARCH({"已驗","已到驗","通緝","強採","在監"},[@管制情形])))&gt;0,AND(ISNUMBER([@距今天數]),[@距今天數]&lt;=30)),1,0)),0)</f>
        <v/>
      </c>
      <c r="M69" s="15">
        <f>IFERROR(IF([@管制情形]="","○ 未填",IF(ISNUMBER(SEARCH("解除",[@管制情形])),"○ 結束",IF(AND(ISNUMBER([@距今天數]),[@距今天數]&gt;30),"● 紅",IF([@是否到驗]=1,"● 綠","⚠ 黃")))),"")</f>
        <v/>
      </c>
      <c r="N69" s="141">
        <f>IFERROR(IF(OR(ISNUMBER(SEARCH("未到驗",[@管制情形])),AND(ISNUMBER([@距今天數]),[@距今天數]&gt;30)),1,0),0)</f>
        <v/>
      </c>
    </row>
    <row r="70" ht="30" customHeight="1">
      <c r="A70" s="14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45" t="n"/>
      <c r="K70" s="141">
        <f>IFERROR(IF([@最後到驗日]="","",今日-[@最後到驗日]),"")</f>
        <v/>
      </c>
      <c r="L70" s="141">
        <f>IFERROR(IF([@管制情形]="",0,IF(OR(SUMPRODUCT(--ISNUMBER(SEARCH({"已驗","已到驗","通緝","強採","在監"},[@管制情形])))&gt;0,AND(ISNUMBER([@距今天數]),[@距今天數]&lt;=30)),1,0)),0)</f>
        <v/>
      </c>
      <c r="M70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0" s="141">
        <f>IFERROR(IF(OR(ISNUMBER(SEARCH("未到驗",[@管制情形])),AND(ISNUMBER([@距今天數]),[@距今天數]&gt;30)),1,0),0)</f>
        <v/>
      </c>
    </row>
    <row r="71" ht="30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45" t="n"/>
      <c r="K71" s="141">
        <f>IFERROR(IF([@最後到驗日]="","",今日-[@最後到驗日]),"")</f>
        <v/>
      </c>
      <c r="L71" s="141">
        <f>IFERROR(IF([@管制情形]="",0,IF(OR(SUMPRODUCT(--ISNUMBER(SEARCH({"已驗","已到驗","通緝","強採","在監"},[@管制情形])))&gt;0,AND(ISNUMBER([@距今天數]),[@距今天數]&lt;=30)),1,0)),0)</f>
        <v/>
      </c>
      <c r="M71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1" s="141">
        <f>IFERROR(IF(OR(ISNUMBER(SEARCH("未到驗",[@管制情形])),AND(ISNUMBER([@距今天數]),[@距今天數]&gt;30)),1,0),0)</f>
        <v/>
      </c>
    </row>
    <row r="72" ht="30" customHeight="1">
      <c r="A72" s="14" t="n"/>
      <c r="B72" s="14" t="n"/>
      <c r="C72" s="14" t="n"/>
      <c r="D72" s="14" t="n"/>
      <c r="E72" s="14" t="n"/>
      <c r="F72" s="14" t="n"/>
      <c r="G72" s="14" t="n"/>
      <c r="H72" s="14" t="n"/>
      <c r="I72" s="14" t="n"/>
      <c r="J72" s="45" t="n"/>
      <c r="K72" s="141">
        <f>IFERROR(IF([@最後到驗日]="","",今日-[@最後到驗日]),"")</f>
        <v/>
      </c>
      <c r="L72" s="141">
        <f>IFERROR(IF([@管制情形]="",0,IF(OR(SUMPRODUCT(--ISNUMBER(SEARCH({"已驗","已到驗","通緝","強採","在監"},[@管制情形])))&gt;0,AND(ISNUMBER([@距今天數]),[@距今天數]&lt;=30)),1,0)),0)</f>
        <v/>
      </c>
      <c r="M72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2" s="141">
        <f>IFERROR(IF(OR(ISNUMBER(SEARCH("未到驗",[@管制情形])),AND(ISNUMBER([@距今天數]),[@距今天數]&gt;30)),1,0),0)</f>
        <v/>
      </c>
    </row>
    <row r="73" ht="30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45" t="n"/>
      <c r="K73" s="141">
        <f>IFERROR(IF([@最後到驗日]="","",今日-[@最後到驗日]),"")</f>
        <v/>
      </c>
      <c r="L73" s="141">
        <f>IFERROR(IF([@管制情形]="",0,IF(OR(SUMPRODUCT(--ISNUMBER(SEARCH({"已驗","已到驗","通緝","強採","在監"},[@管制情形])))&gt;0,AND(ISNUMBER([@距今天數]),[@距今天數]&lt;=30)),1,0)),0)</f>
        <v/>
      </c>
      <c r="M73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3" s="141">
        <f>IFERROR(IF(OR(ISNUMBER(SEARCH("未到驗",[@管制情形])),AND(ISNUMBER([@距今天數]),[@距今天數]&gt;30)),1,0),0)</f>
        <v/>
      </c>
    </row>
    <row r="74" ht="30" customHeight="1">
      <c r="A74" s="14" t="n"/>
      <c r="B74" s="14" t="n"/>
      <c r="C74" s="14" t="n"/>
      <c r="D74" s="14" t="n"/>
      <c r="E74" s="14" t="n"/>
      <c r="F74" s="14" t="n"/>
      <c r="G74" s="14" t="n"/>
      <c r="H74" s="14" t="n"/>
      <c r="I74" s="14" t="n"/>
      <c r="J74" s="45" t="n"/>
      <c r="K74" s="141">
        <f>IFERROR(IF([@最後到驗日]="","",今日-[@最後到驗日]),"")</f>
        <v/>
      </c>
      <c r="L74" s="141">
        <f>IFERROR(IF([@管制情形]="",0,IF(OR(SUMPRODUCT(--ISNUMBER(SEARCH({"已驗","已到驗","通緝","強採","在監"},[@管制情形])))&gt;0,AND(ISNUMBER([@距今天數]),[@距今天數]&lt;=30)),1,0)),0)</f>
        <v/>
      </c>
      <c r="M74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4" s="141">
        <f>IFERROR(IF(OR(ISNUMBER(SEARCH("未到驗",[@管制情形])),AND(ISNUMBER([@距今天數]),[@距今天數]&gt;30)),1,0),0)</f>
        <v/>
      </c>
    </row>
    <row r="75" ht="30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45" t="n"/>
      <c r="K75" s="141">
        <f>IFERROR(IF([@最後到驗日]="","",今日-[@最後到驗日]),"")</f>
        <v/>
      </c>
      <c r="L75" s="141">
        <f>IFERROR(IF([@管制情形]="",0,IF(OR(SUMPRODUCT(--ISNUMBER(SEARCH({"已驗","已到驗","通緝","強採","在監"},[@管制情形])))&gt;0,AND(ISNUMBER([@距今天數]),[@距今天數]&lt;=30)),1,0)),0)</f>
        <v/>
      </c>
      <c r="M75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5" s="141">
        <f>IFERROR(IF(OR(ISNUMBER(SEARCH("未到驗",[@管制情形])),AND(ISNUMBER([@距今天數]),[@距今天數]&gt;30)),1,0),0)</f>
        <v/>
      </c>
    </row>
    <row r="76" ht="30" customHeight="1">
      <c r="A76" s="14" t="n"/>
      <c r="B76" s="14" t="n"/>
      <c r="C76" s="14" t="n"/>
      <c r="D76" s="14" t="n"/>
      <c r="E76" s="14" t="n"/>
      <c r="F76" s="14" t="n"/>
      <c r="G76" s="14" t="n"/>
      <c r="H76" s="14" t="n"/>
      <c r="I76" s="14" t="n"/>
      <c r="J76" s="45" t="n"/>
      <c r="K76" s="141">
        <f>IFERROR(IF([@最後到驗日]="","",今日-[@最後到驗日]),"")</f>
        <v/>
      </c>
      <c r="L76" s="141">
        <f>IFERROR(IF([@管制情形]="",0,IF(OR(SUMPRODUCT(--ISNUMBER(SEARCH({"已驗","已到驗","通緝","強採","在監"},[@管制情形])))&gt;0,AND(ISNUMBER([@距今天數]),[@距今天數]&lt;=30)),1,0)),0)</f>
        <v/>
      </c>
      <c r="M76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6" s="141">
        <f>IFERROR(IF(OR(ISNUMBER(SEARCH("未到驗",[@管制情形])),AND(ISNUMBER([@距今天數]),[@距今天數]&gt;30)),1,0),0)</f>
        <v/>
      </c>
    </row>
    <row r="77" ht="30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45" t="n"/>
      <c r="K77" s="141">
        <f>IFERROR(IF([@最後到驗日]="","",今日-[@最後到驗日]),"")</f>
        <v/>
      </c>
      <c r="L77" s="141">
        <f>IFERROR(IF([@管制情形]="",0,IF(OR(SUMPRODUCT(--ISNUMBER(SEARCH({"已驗","已到驗","通緝","強採","在監"},[@管制情形])))&gt;0,AND(ISNUMBER([@距今天數]),[@距今天數]&lt;=30)),1,0)),0)</f>
        <v/>
      </c>
      <c r="M77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7" s="141">
        <f>IFERROR(IF(OR(ISNUMBER(SEARCH("未到驗",[@管制情形])),AND(ISNUMBER([@距今天數]),[@距今天數]&gt;30)),1,0),0)</f>
        <v/>
      </c>
    </row>
    <row r="78" ht="30" customHeight="1">
      <c r="A78" s="14" t="n"/>
      <c r="B78" s="14" t="n"/>
      <c r="C78" s="14" t="n"/>
      <c r="D78" s="14" t="n"/>
      <c r="E78" s="14" t="n"/>
      <c r="F78" s="14" t="n"/>
      <c r="G78" s="14" t="n"/>
      <c r="H78" s="14" t="n"/>
      <c r="I78" s="14" t="n"/>
      <c r="J78" s="45" t="n"/>
      <c r="K78" s="141">
        <f>IFERROR(IF([@最後到驗日]="","",今日-[@最後到驗日]),"")</f>
        <v/>
      </c>
      <c r="L78" s="141">
        <f>IFERROR(IF([@管制情形]="",0,IF(OR(SUMPRODUCT(--ISNUMBER(SEARCH({"已驗","已到驗","通緝","強採","在監"},[@管制情形])))&gt;0,AND(ISNUMBER([@距今天數]),[@距今天數]&lt;=30)),1,0)),0)</f>
        <v/>
      </c>
      <c r="M78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8" s="141">
        <f>IFERROR(IF(OR(ISNUMBER(SEARCH("未到驗",[@管制情形])),AND(ISNUMBER([@距今天數]),[@距今天數]&gt;30)),1,0),0)</f>
        <v/>
      </c>
    </row>
    <row r="79" ht="30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45" t="n"/>
      <c r="K79" s="141">
        <f>IFERROR(IF([@最後到驗日]="","",今日-[@最後到驗日]),"")</f>
        <v/>
      </c>
      <c r="L79" s="141">
        <f>IFERROR(IF([@管制情形]="",0,IF(OR(SUMPRODUCT(--ISNUMBER(SEARCH({"已驗","已到驗","通緝","強採","在監"},[@管制情形])))&gt;0,AND(ISNUMBER([@距今天數]),[@距今天數]&lt;=30)),1,0)),0)</f>
        <v/>
      </c>
      <c r="M79" s="15">
        <f>IFERROR(IF([@管制情形]="","○ 未填",IF(ISNUMBER(SEARCH("解除",[@管制情形])),"○ 結束",IF(AND(ISNUMBER([@距今天數]),[@距今天數]&gt;30),"● 紅",IF([@是否到驗]=1,"● 綠","⚠ 黃")))),"")</f>
        <v/>
      </c>
      <c r="N79" s="141">
        <f>IFERROR(IF(OR(ISNUMBER(SEARCH("未到驗",[@管制情形])),AND(ISNUMBER([@距今天數]),[@距今天數]&gt;30)),1,0),0)</f>
        <v/>
      </c>
    </row>
    <row r="80" ht="30" customHeight="1">
      <c r="A80" s="14" t="n"/>
      <c r="B80" s="14" t="n"/>
      <c r="C80" s="14" t="n"/>
      <c r="D80" s="14" t="n"/>
      <c r="E80" s="14" t="n"/>
      <c r="F80" s="14" t="n"/>
      <c r="G80" s="14" t="n"/>
      <c r="H80" s="14" t="n"/>
      <c r="I80" s="14" t="n"/>
      <c r="J80" s="45" t="n"/>
      <c r="K80" s="141">
        <f>IFERROR(IF([@最後到驗日]="","",今日-[@最後到驗日]),"")</f>
        <v/>
      </c>
      <c r="L80" s="141">
        <f>IFERROR(IF([@管制情形]="",0,IF(OR(SUMPRODUCT(--ISNUMBER(SEARCH({"已驗","已到驗","通緝","強採","在監"},[@管制情形])))&gt;0,AND(ISNUMBER([@距今天數]),[@距今天數]&lt;=30)),1,0)),0)</f>
        <v/>
      </c>
      <c r="M80" s="15">
        <f>IFERROR(IF([@管制情形]="","○ 未填",IF(ISNUMBER(SEARCH("解除",[@管制情形])),"○ 結束",IF(AND(ISNUMBER([@距今天數]),[@距今天數]&gt;30),"● 紅",IF([@是否到驗]=1,"● 綠","⚠ 黃")))),"")</f>
        <v/>
      </c>
      <c r="N80" s="141">
        <f>IFERROR(IF(OR(ISNUMBER(SEARCH("未到驗",[@管制情形])),AND(ISNUMBER([@距今天數]),[@距今天數]&gt;30)),1,0),0)</f>
        <v/>
      </c>
    </row>
    <row r="81" ht="30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45" t="n"/>
      <c r="K81" s="141">
        <f>IFERROR(IF([@最後到驗日]="","",今日-[@最後到驗日]),"")</f>
        <v/>
      </c>
      <c r="L81" s="141">
        <f>IFERROR(IF([@管制情形]="",0,IF(OR(SUMPRODUCT(--ISNUMBER(SEARCH({"已驗","已到驗","通緝","強採","在監"},[@管制情形])))&gt;0,AND(ISNUMBER([@距今天數]),[@距今天數]&lt;=30)),1,0)),0)</f>
        <v/>
      </c>
      <c r="M81" s="15">
        <f>IFERROR(IF([@管制情形]="","○ 未填",IF(ISNUMBER(SEARCH("解除",[@管制情形])),"○ 結束",IF(AND(ISNUMBER([@距今天數]),[@距今天數]&gt;30),"● 紅",IF([@是否到驗]=1,"● 綠","⚠ 黃")))),"")</f>
        <v/>
      </c>
      <c r="N81" s="141">
        <f>IFERROR(IF(OR(ISNUMBER(SEARCH("未到驗",[@管制情形])),AND(ISNUMBER([@距今天數]),[@距今天數]&gt;30)),1,0),0)</f>
        <v/>
      </c>
    </row>
    <row r="82" ht="30" customHeight="1">
      <c r="A82" s="14" t="n"/>
      <c r="B82" s="14" t="n"/>
      <c r="C82" s="14" t="n"/>
      <c r="D82" s="14" t="n"/>
      <c r="E82" s="14" t="n"/>
      <c r="F82" s="14" t="n"/>
      <c r="G82" s="14" t="n"/>
      <c r="H82" s="14" t="n"/>
      <c r="I82" s="14" t="n"/>
      <c r="J82" s="45" t="n"/>
      <c r="K82" s="141">
        <f>IFERROR(IF([@最後到驗日]="","",今日-[@最後到驗日]),"")</f>
        <v/>
      </c>
      <c r="L82" s="141">
        <f>IFERROR(IF([@管制情形]="",0,IF(OR(SUMPRODUCT(--ISNUMBER(SEARCH({"已驗","已到驗","通緝","強採","在監"},[@管制情形])))&gt;0,AND(ISNUMBER([@距今天數]),[@距今天數]&lt;=30)),1,0)),0)</f>
        <v/>
      </c>
      <c r="M82" s="15">
        <f>IFERROR(IF([@管制情形]="","○ 未填",IF(ISNUMBER(SEARCH("解除",[@管制情形])),"○ 結束",IF(AND(ISNUMBER([@距今天數]),[@距今天數]&gt;30),"● 紅",IF([@是否到驗]=1,"● 綠","⚠ 黃")))),"")</f>
        <v/>
      </c>
      <c r="N82" s="141">
        <f>IFERROR(IF(OR(ISNUMBER(SEARCH("未到驗",[@管制情形])),AND(ISNUMBER([@距今天數]),[@距今天數]&gt;30)),1,0),0)</f>
        <v/>
      </c>
    </row>
    <row r="83" ht="30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45" t="n"/>
      <c r="K83" s="141">
        <f>IFERROR(IF([@最後到驗日]="","",今日-[@最後到驗日]),"")</f>
        <v/>
      </c>
      <c r="L83" s="141">
        <f>IFERROR(IF([@管制情形]="",0,IF(OR(SUMPRODUCT(--ISNUMBER(SEARCH({"已驗","已到驗","通緝","強採","在監"},[@管制情形])))&gt;0,AND(ISNUMBER([@距今天數]),[@距今天數]&lt;=30)),1,0)),0)</f>
        <v/>
      </c>
      <c r="M83" s="15">
        <f>IFERROR(IF([@管制情形]="","○ 未填",IF(ISNUMBER(SEARCH("解除",[@管制情形])),"○ 結束",IF(AND(ISNUMBER([@距今天數]),[@距今天數]&gt;30),"● 紅",IF([@是否到驗]=1,"● 綠","⚠ 黃")))),"")</f>
        <v/>
      </c>
      <c r="N83" s="141">
        <f>IFERROR(IF(OR(ISNUMBER(SEARCH("未到驗",[@管制情形])),AND(ISNUMBER([@距今天數]),[@距今天數]&gt;30)),1,0),0)</f>
        <v/>
      </c>
    </row>
    <row r="84" ht="30" customHeight="1">
      <c r="A84" s="14" t="n"/>
      <c r="B84" s="14" t="n"/>
      <c r="C84" s="14" t="n"/>
      <c r="D84" s="14" t="n"/>
      <c r="E84" s="14" t="n"/>
      <c r="F84" s="14" t="n"/>
      <c r="G84" s="14" t="n"/>
      <c r="H84" s="14" t="n"/>
      <c r="I84" s="14" t="n"/>
      <c r="J84" s="45" t="n"/>
      <c r="K84" s="141">
        <f>IFERROR(IF([@最後到驗日]="","",今日-[@最後到驗日]),"")</f>
        <v/>
      </c>
      <c r="L84" s="141">
        <f>IFERROR(IF([@管制情形]="",0,IF(OR(SUMPRODUCT(--ISNUMBER(SEARCH({"已驗","已到驗","通緝","強採","在監"},[@管制情形])))&gt;0,AND(ISNUMBER([@距今天數]),[@距今天數]&lt;=30)),1,0)),0)</f>
        <v/>
      </c>
      <c r="M84" s="15">
        <f>IFERROR(IF([@管制情形]="","○ 未填",IF(ISNUMBER(SEARCH("解除",[@管制情形])),"○ 結束",IF(AND(ISNUMBER([@距今天數]),[@距今天數]&gt;30),"● 紅",IF([@是否到驗]=1,"● 綠","⚠ 黃")))),"")</f>
        <v/>
      </c>
      <c r="N84" s="141">
        <f>IFERROR(IF(OR(ISNUMBER(SEARCH("未到驗",[@管制情形])),AND(ISNUMBER([@距今天數]),[@距今天數]&gt;30)),1,0),0)</f>
        <v/>
      </c>
    </row>
    <row r="99">
      <c r="T99" s="83" t="inlineStr">
        <is>
          <t>[helper] 候選 seq</t>
        </is>
      </c>
      <c r="U99" s="83" t="inlineStr">
        <is>
          <t>候選旗標</t>
        </is>
      </c>
      <c r="V99" s="83" t="inlineStr">
        <is>
          <t>候選順序</t>
        </is>
      </c>
    </row>
    <row r="100" hidden="1">
      <c r="T100" s="86" t="n">
        <v>1</v>
      </c>
      <c r="U100" s="86">
        <f>IFERROR(INDEX(Tbl毒調[候選旗標],1),0)</f>
        <v/>
      </c>
      <c r="V100" s="86">
        <f>IF(U100=1,SUM($U$100:U100),0)</f>
        <v/>
      </c>
    </row>
    <row r="101" hidden="1">
      <c r="T101" s="86" t="n">
        <v>2</v>
      </c>
      <c r="U101" s="86">
        <f>IFERROR(INDEX(Tbl毒調[候選旗標],2),0)</f>
        <v/>
      </c>
      <c r="V101" s="86">
        <f>IF(U101=1,SUM($U$100:U101),0)</f>
        <v/>
      </c>
    </row>
    <row r="102" hidden="1">
      <c r="T102" s="86" t="n">
        <v>3</v>
      </c>
      <c r="U102" s="86">
        <f>IFERROR(INDEX(Tbl毒調[候選旗標],3),0)</f>
        <v/>
      </c>
      <c r="V102" s="86">
        <f>IF(U102=1,SUM($U$100:U102),0)</f>
        <v/>
      </c>
    </row>
    <row r="103" hidden="1">
      <c r="T103" s="86" t="n">
        <v>4</v>
      </c>
      <c r="U103" s="86">
        <f>IFERROR(INDEX(Tbl毒調[候選旗標],4),0)</f>
        <v/>
      </c>
      <c r="V103" s="86">
        <f>IF(U103=1,SUM($U$100:U103),0)</f>
        <v/>
      </c>
    </row>
    <row r="104" hidden="1">
      <c r="T104" s="86" t="n">
        <v>5</v>
      </c>
      <c r="U104" s="86">
        <f>IFERROR(INDEX(Tbl毒調[候選旗標],5),0)</f>
        <v/>
      </c>
      <c r="V104" s="86">
        <f>IF(U104=1,SUM($U$100:U104),0)</f>
        <v/>
      </c>
    </row>
    <row r="105" hidden="1">
      <c r="T105" s="86" t="n">
        <v>6</v>
      </c>
      <c r="U105" s="86">
        <f>IFERROR(INDEX(Tbl毒調[候選旗標],6),0)</f>
        <v/>
      </c>
      <c r="V105" s="86">
        <f>IF(U105=1,SUM($U$100:U105),0)</f>
        <v/>
      </c>
    </row>
    <row r="106" hidden="1">
      <c r="T106" s="86" t="n">
        <v>7</v>
      </c>
      <c r="U106" s="86">
        <f>IFERROR(INDEX(Tbl毒調[候選旗標],7),0)</f>
        <v/>
      </c>
      <c r="V106" s="86">
        <f>IF(U106=1,SUM($U$100:U106),0)</f>
        <v/>
      </c>
    </row>
    <row r="107" hidden="1">
      <c r="T107" s="86" t="n">
        <v>8</v>
      </c>
      <c r="U107" s="86">
        <f>IFERROR(INDEX(Tbl毒調[候選旗標],8),0)</f>
        <v/>
      </c>
      <c r="V107" s="86">
        <f>IF(U107=1,SUM($U$100:U107),0)</f>
        <v/>
      </c>
    </row>
    <row r="108" hidden="1">
      <c r="T108" s="86" t="n">
        <v>9</v>
      </c>
      <c r="U108" s="86">
        <f>IFERROR(INDEX(Tbl毒調[候選旗標],9),0)</f>
        <v/>
      </c>
      <c r="V108" s="86">
        <f>IF(U108=1,SUM($U$100:U108),0)</f>
        <v/>
      </c>
    </row>
    <row r="109" hidden="1">
      <c r="T109" s="86" t="n">
        <v>10</v>
      </c>
      <c r="U109" s="86">
        <f>IFERROR(INDEX(Tbl毒調[候選旗標],10),0)</f>
        <v/>
      </c>
      <c r="V109" s="86">
        <f>IF(U109=1,SUM($U$100:U109),0)</f>
        <v/>
      </c>
    </row>
    <row r="110" hidden="1">
      <c r="T110" s="86" t="n">
        <v>11</v>
      </c>
      <c r="U110" s="86">
        <f>IFERROR(INDEX(Tbl毒調[候選旗標],11),0)</f>
        <v/>
      </c>
      <c r="V110" s="86">
        <f>IF(U110=1,SUM($U$100:U110),0)</f>
        <v/>
      </c>
    </row>
    <row r="111" hidden="1">
      <c r="T111" s="86" t="n">
        <v>12</v>
      </c>
      <c r="U111" s="86">
        <f>IFERROR(INDEX(Tbl毒調[候選旗標],12),0)</f>
        <v/>
      </c>
      <c r="V111" s="86">
        <f>IF(U111=1,SUM($U$100:U111),0)</f>
        <v/>
      </c>
    </row>
    <row r="112" hidden="1">
      <c r="T112" s="86" t="n">
        <v>13</v>
      </c>
      <c r="U112" s="86">
        <f>IFERROR(INDEX(Tbl毒調[候選旗標],13),0)</f>
        <v/>
      </c>
      <c r="V112" s="86">
        <f>IF(U112=1,SUM($U$100:U112),0)</f>
        <v/>
      </c>
    </row>
    <row r="113" hidden="1">
      <c r="T113" s="86" t="n">
        <v>14</v>
      </c>
      <c r="U113" s="86">
        <f>IFERROR(INDEX(Tbl毒調[候選旗標],14),0)</f>
        <v/>
      </c>
      <c r="V113" s="86">
        <f>IF(U113=1,SUM($U$100:U113),0)</f>
        <v/>
      </c>
    </row>
    <row r="114" hidden="1">
      <c r="T114" s="86" t="n">
        <v>15</v>
      </c>
      <c r="U114" s="86">
        <f>IFERROR(INDEX(Tbl毒調[候選旗標],15),0)</f>
        <v/>
      </c>
      <c r="V114" s="86">
        <f>IF(U114=1,SUM($U$100:U114),0)</f>
        <v/>
      </c>
    </row>
    <row r="115" hidden="1">
      <c r="T115" s="86" t="n">
        <v>16</v>
      </c>
      <c r="U115" s="86">
        <f>IFERROR(INDEX(Tbl毒調[候選旗標],16),0)</f>
        <v/>
      </c>
      <c r="V115" s="86">
        <f>IF(U115=1,SUM($U$100:U115),0)</f>
        <v/>
      </c>
    </row>
    <row r="116" hidden="1">
      <c r="T116" s="86" t="n">
        <v>17</v>
      </c>
      <c r="U116" s="86">
        <f>IFERROR(INDEX(Tbl毒調[候選旗標],17),0)</f>
        <v/>
      </c>
      <c r="V116" s="86">
        <f>IF(U116=1,SUM($U$100:U116),0)</f>
        <v/>
      </c>
    </row>
    <row r="117" hidden="1">
      <c r="T117" s="86" t="n">
        <v>18</v>
      </c>
      <c r="U117" s="86">
        <f>IFERROR(INDEX(Tbl毒調[候選旗標],18),0)</f>
        <v/>
      </c>
      <c r="V117" s="86">
        <f>IF(U117=1,SUM($U$100:U117),0)</f>
        <v/>
      </c>
    </row>
    <row r="118" hidden="1">
      <c r="T118" s="86" t="n">
        <v>19</v>
      </c>
      <c r="U118" s="86">
        <f>IFERROR(INDEX(Tbl毒調[候選旗標],19),0)</f>
        <v/>
      </c>
      <c r="V118" s="86">
        <f>IF(U118=1,SUM($U$100:U118),0)</f>
        <v/>
      </c>
    </row>
    <row r="119" hidden="1">
      <c r="T119" s="86" t="n">
        <v>20</v>
      </c>
      <c r="U119" s="86">
        <f>IFERROR(INDEX(Tbl毒調[候選旗標],20),0)</f>
        <v/>
      </c>
      <c r="V119" s="86">
        <f>IF(U119=1,SUM($U$100:U119),0)</f>
        <v/>
      </c>
    </row>
    <row r="120" hidden="1">
      <c r="T120" s="86" t="n">
        <v>21</v>
      </c>
      <c r="U120" s="86">
        <f>IFERROR(INDEX(Tbl毒調[候選旗標],21),0)</f>
        <v/>
      </c>
      <c r="V120" s="86">
        <f>IF(U120=1,SUM($U$100:U120),0)</f>
        <v/>
      </c>
    </row>
    <row r="121" hidden="1">
      <c r="T121" s="86" t="n">
        <v>22</v>
      </c>
      <c r="U121" s="86">
        <f>IFERROR(INDEX(Tbl毒調[候選旗標],22),0)</f>
        <v/>
      </c>
      <c r="V121" s="86">
        <f>IF(U121=1,SUM($U$100:U121),0)</f>
        <v/>
      </c>
    </row>
    <row r="122" hidden="1">
      <c r="T122" s="86" t="n">
        <v>23</v>
      </c>
      <c r="U122" s="86">
        <f>IFERROR(INDEX(Tbl毒調[候選旗標],23),0)</f>
        <v/>
      </c>
      <c r="V122" s="86">
        <f>IF(U122=1,SUM($U$100:U122),0)</f>
        <v/>
      </c>
    </row>
    <row r="123" hidden="1">
      <c r="T123" s="86" t="n">
        <v>24</v>
      </c>
      <c r="U123" s="86">
        <f>IFERROR(INDEX(Tbl毒調[候選旗標],24),0)</f>
        <v/>
      </c>
      <c r="V123" s="86">
        <f>IF(U123=1,SUM($U$100:U123),0)</f>
        <v/>
      </c>
    </row>
    <row r="124" hidden="1">
      <c r="T124" s="86" t="n">
        <v>25</v>
      </c>
      <c r="U124" s="86">
        <f>IFERROR(INDEX(Tbl毒調[候選旗標],25),0)</f>
        <v/>
      </c>
      <c r="V124" s="86">
        <f>IF(U124=1,SUM($U$100:U124),0)</f>
        <v/>
      </c>
    </row>
    <row r="125" hidden="1">
      <c r="T125" s="86" t="n">
        <v>26</v>
      </c>
      <c r="U125" s="86">
        <f>IFERROR(INDEX(Tbl毒調[候選旗標],26),0)</f>
        <v/>
      </c>
      <c r="V125" s="86">
        <f>IF(U125=1,SUM($U$100:U125),0)</f>
        <v/>
      </c>
    </row>
    <row r="126" hidden="1">
      <c r="T126" s="86" t="n">
        <v>27</v>
      </c>
      <c r="U126" s="86">
        <f>IFERROR(INDEX(Tbl毒調[候選旗標],27),0)</f>
        <v/>
      </c>
      <c r="V126" s="86">
        <f>IF(U126=1,SUM($U$100:U126),0)</f>
        <v/>
      </c>
    </row>
    <row r="127" hidden="1">
      <c r="T127" s="86" t="n">
        <v>28</v>
      </c>
      <c r="U127" s="86">
        <f>IFERROR(INDEX(Tbl毒調[候選旗標],28),0)</f>
        <v/>
      </c>
      <c r="V127" s="86">
        <f>IF(U127=1,SUM($U$100:U127),0)</f>
        <v/>
      </c>
    </row>
    <row r="128" hidden="1">
      <c r="T128" s="86" t="n">
        <v>29</v>
      </c>
      <c r="U128" s="86">
        <f>IFERROR(INDEX(Tbl毒調[候選旗標],29),0)</f>
        <v/>
      </c>
      <c r="V128" s="86">
        <f>IF(U128=1,SUM($U$100:U128),0)</f>
        <v/>
      </c>
    </row>
    <row r="129" hidden="1">
      <c r="T129" s="86" t="n">
        <v>30</v>
      </c>
      <c r="U129" s="86">
        <f>IFERROR(INDEX(Tbl毒調[候選旗標],30),0)</f>
        <v/>
      </c>
      <c r="V129" s="86">
        <f>IF(U129=1,SUM($U$100:U129),0)</f>
        <v/>
      </c>
    </row>
    <row r="130" hidden="1">
      <c r="T130" s="86" t="n">
        <v>31</v>
      </c>
      <c r="U130" s="86">
        <f>IFERROR(INDEX(Tbl毒調[候選旗標],31),0)</f>
        <v/>
      </c>
      <c r="V130" s="86">
        <f>IF(U130=1,SUM($U$100:U130),0)</f>
        <v/>
      </c>
    </row>
    <row r="131" hidden="1">
      <c r="T131" s="86" t="n">
        <v>32</v>
      </c>
      <c r="U131" s="86">
        <f>IFERROR(INDEX(Tbl毒調[候選旗標],32),0)</f>
        <v/>
      </c>
      <c r="V131" s="86">
        <f>IF(U131=1,SUM($U$100:U131),0)</f>
        <v/>
      </c>
    </row>
    <row r="132" hidden="1">
      <c r="T132" s="86" t="n">
        <v>33</v>
      </c>
      <c r="U132" s="86">
        <f>IFERROR(INDEX(Tbl毒調[候選旗標],33),0)</f>
        <v/>
      </c>
      <c r="V132" s="86">
        <f>IF(U132=1,SUM($U$100:U132),0)</f>
        <v/>
      </c>
    </row>
    <row r="133" hidden="1">
      <c r="T133" s="86" t="n">
        <v>34</v>
      </c>
      <c r="U133" s="86">
        <f>IFERROR(INDEX(Tbl毒調[候選旗標],34),0)</f>
        <v/>
      </c>
      <c r="V133" s="86">
        <f>IF(U133=1,SUM($U$100:U133),0)</f>
        <v/>
      </c>
    </row>
    <row r="134" hidden="1">
      <c r="T134" s="86" t="n">
        <v>35</v>
      </c>
      <c r="U134" s="86">
        <f>IFERROR(INDEX(Tbl毒調[候選旗標],35),0)</f>
        <v/>
      </c>
      <c r="V134" s="86">
        <f>IF(U134=1,SUM($U$100:U134),0)</f>
        <v/>
      </c>
    </row>
    <row r="135" hidden="1">
      <c r="T135" s="86" t="n">
        <v>36</v>
      </c>
      <c r="U135" s="86">
        <f>IFERROR(INDEX(Tbl毒調[候選旗標],36),0)</f>
        <v/>
      </c>
      <c r="V135" s="86">
        <f>IF(U135=1,SUM($U$100:U135),0)</f>
        <v/>
      </c>
    </row>
    <row r="136" hidden="1">
      <c r="T136" s="86" t="n">
        <v>37</v>
      </c>
      <c r="U136" s="86">
        <f>IFERROR(INDEX(Tbl毒調[候選旗標],37),0)</f>
        <v/>
      </c>
      <c r="V136" s="86">
        <f>IF(U136=1,SUM($U$100:U136),0)</f>
        <v/>
      </c>
    </row>
    <row r="137" hidden="1">
      <c r="T137" s="86" t="n">
        <v>38</v>
      </c>
      <c r="U137" s="86">
        <f>IFERROR(INDEX(Tbl毒調[候選旗標],38),0)</f>
        <v/>
      </c>
      <c r="V137" s="86">
        <f>IF(U137=1,SUM($U$100:U137),0)</f>
        <v/>
      </c>
    </row>
    <row r="138" hidden="1">
      <c r="T138" s="86" t="n">
        <v>39</v>
      </c>
      <c r="U138" s="86">
        <f>IFERROR(INDEX(Tbl毒調[候選旗標],39),0)</f>
        <v/>
      </c>
      <c r="V138" s="86">
        <f>IF(U138=1,SUM($U$100:U138),0)</f>
        <v/>
      </c>
    </row>
    <row r="139" hidden="1">
      <c r="T139" s="86" t="n">
        <v>40</v>
      </c>
      <c r="U139" s="86">
        <f>IFERROR(INDEX(Tbl毒調[候選旗標],40),0)</f>
        <v/>
      </c>
      <c r="V139" s="86">
        <f>IF(U139=1,SUM($U$100:U139),0)</f>
        <v/>
      </c>
    </row>
    <row r="140" hidden="1">
      <c r="T140" s="86" t="n">
        <v>41</v>
      </c>
      <c r="U140" s="86">
        <f>IFERROR(INDEX(Tbl毒調[候選旗標],41),0)</f>
        <v/>
      </c>
      <c r="V140" s="86">
        <f>IF(U140=1,SUM($U$100:U140),0)</f>
        <v/>
      </c>
    </row>
    <row r="141" hidden="1">
      <c r="T141" s="86" t="n">
        <v>42</v>
      </c>
      <c r="U141" s="86">
        <f>IFERROR(INDEX(Tbl毒調[候選旗標],42),0)</f>
        <v/>
      </c>
      <c r="V141" s="86">
        <f>IF(U141=1,SUM($U$100:U141),0)</f>
        <v/>
      </c>
    </row>
    <row r="142" hidden="1">
      <c r="T142" s="86" t="n">
        <v>43</v>
      </c>
      <c r="U142" s="86">
        <f>IFERROR(INDEX(Tbl毒調[候選旗標],43),0)</f>
        <v/>
      </c>
      <c r="V142" s="86">
        <f>IF(U142=1,SUM($U$100:U142),0)</f>
        <v/>
      </c>
    </row>
    <row r="143" hidden="1">
      <c r="T143" s="86" t="n">
        <v>44</v>
      </c>
      <c r="U143" s="86">
        <f>IFERROR(INDEX(Tbl毒調[候選旗標],44),0)</f>
        <v/>
      </c>
      <c r="V143" s="86">
        <f>IF(U143=1,SUM($U$100:U143),0)</f>
        <v/>
      </c>
    </row>
    <row r="144" hidden="1">
      <c r="T144" s="86" t="n">
        <v>45</v>
      </c>
      <c r="U144" s="86">
        <f>IFERROR(INDEX(Tbl毒調[候選旗標],45),0)</f>
        <v/>
      </c>
      <c r="V144" s="86">
        <f>IF(U144=1,SUM($U$100:U144),0)</f>
        <v/>
      </c>
    </row>
    <row r="145" hidden="1">
      <c r="T145" s="86" t="n">
        <v>46</v>
      </c>
      <c r="U145" s="86">
        <f>IFERROR(INDEX(Tbl毒調[候選旗標],46),0)</f>
        <v/>
      </c>
      <c r="V145" s="86">
        <f>IF(U145=1,SUM($U$100:U145),0)</f>
        <v/>
      </c>
    </row>
    <row r="146" hidden="1">
      <c r="T146" s="86" t="n">
        <v>47</v>
      </c>
      <c r="U146" s="86">
        <f>IFERROR(INDEX(Tbl毒調[候選旗標],47),0)</f>
        <v/>
      </c>
      <c r="V146" s="86">
        <f>IF(U146=1,SUM($U$100:U146),0)</f>
        <v/>
      </c>
    </row>
    <row r="147" hidden="1">
      <c r="T147" s="86" t="n">
        <v>48</v>
      </c>
      <c r="U147" s="86">
        <f>IFERROR(INDEX(Tbl毒調[候選旗標],48),0)</f>
        <v/>
      </c>
      <c r="V147" s="86">
        <f>IF(U147=1,SUM($U$100:U147),0)</f>
        <v/>
      </c>
    </row>
    <row r="148" hidden="1">
      <c r="T148" s="86" t="n">
        <v>49</v>
      </c>
      <c r="U148" s="86">
        <f>IFERROR(INDEX(Tbl毒調[候選旗標],49),0)</f>
        <v/>
      </c>
      <c r="V148" s="86">
        <f>IF(U148=1,SUM($U$100:U148),0)</f>
        <v/>
      </c>
    </row>
    <row r="149" hidden="1">
      <c r="T149" s="86" t="n">
        <v>50</v>
      </c>
      <c r="U149" s="86">
        <f>IFERROR(INDEX(Tbl毒調[候選旗標],50),0)</f>
        <v/>
      </c>
      <c r="V149" s="86">
        <f>IF(U149=1,SUM($U$100:U149),0)</f>
        <v/>
      </c>
    </row>
    <row r="150" hidden="1">
      <c r="T150" s="86" t="n">
        <v>51</v>
      </c>
      <c r="U150" s="86">
        <f>IFERROR(INDEX(Tbl毒調[候選旗標],51),0)</f>
        <v/>
      </c>
      <c r="V150" s="86">
        <f>IF(U150=1,SUM($U$100:U150),0)</f>
        <v/>
      </c>
    </row>
    <row r="151" hidden="1">
      <c r="T151" s="86" t="n">
        <v>52</v>
      </c>
      <c r="U151" s="86">
        <f>IFERROR(INDEX(Tbl毒調[候選旗標],52),0)</f>
        <v/>
      </c>
      <c r="V151" s="86">
        <f>IF(U151=1,SUM($U$100:U151),0)</f>
        <v/>
      </c>
    </row>
    <row r="152" hidden="1">
      <c r="T152" s="86" t="n">
        <v>53</v>
      </c>
      <c r="U152" s="86">
        <f>IFERROR(INDEX(Tbl毒調[候選旗標],53),0)</f>
        <v/>
      </c>
      <c r="V152" s="86">
        <f>IF(U152=1,SUM($U$100:U152),0)</f>
        <v/>
      </c>
    </row>
    <row r="153" hidden="1">
      <c r="T153" s="86" t="n">
        <v>54</v>
      </c>
      <c r="U153" s="86">
        <f>IFERROR(INDEX(Tbl毒調[候選旗標],54),0)</f>
        <v/>
      </c>
      <c r="V153" s="86">
        <f>IF(U153=1,SUM($U$100:U153),0)</f>
        <v/>
      </c>
    </row>
    <row r="154" hidden="1">
      <c r="T154" s="86" t="n">
        <v>55</v>
      </c>
      <c r="U154" s="86">
        <f>IFERROR(INDEX(Tbl毒調[候選旗標],55),0)</f>
        <v/>
      </c>
      <c r="V154" s="86">
        <f>IF(U154=1,SUM($U$100:U154),0)</f>
        <v/>
      </c>
    </row>
    <row r="155" hidden="1">
      <c r="T155" s="86" t="n">
        <v>56</v>
      </c>
      <c r="U155" s="86">
        <f>IFERROR(INDEX(Tbl毒調[候選旗標],56),0)</f>
        <v/>
      </c>
      <c r="V155" s="86">
        <f>IF(U155=1,SUM($U$100:U155),0)</f>
        <v/>
      </c>
    </row>
    <row r="156" hidden="1">
      <c r="T156" s="86" t="n">
        <v>57</v>
      </c>
      <c r="U156" s="86">
        <f>IFERROR(INDEX(Tbl毒調[候選旗標],57),0)</f>
        <v/>
      </c>
      <c r="V156" s="86">
        <f>IF(U156=1,SUM($U$100:U156),0)</f>
        <v/>
      </c>
    </row>
    <row r="157" hidden="1">
      <c r="T157" s="86" t="n">
        <v>58</v>
      </c>
      <c r="U157" s="86">
        <f>IFERROR(INDEX(Tbl毒調[候選旗標],58),0)</f>
        <v/>
      </c>
      <c r="V157" s="86">
        <f>IF(U157=1,SUM($U$100:U157),0)</f>
        <v/>
      </c>
    </row>
    <row r="158" hidden="1">
      <c r="T158" s="86" t="n">
        <v>59</v>
      </c>
      <c r="U158" s="86">
        <f>IFERROR(INDEX(Tbl毒調[候選旗標],59),0)</f>
        <v/>
      </c>
      <c r="V158" s="86">
        <f>IF(U158=1,SUM($U$100:U158),0)</f>
        <v/>
      </c>
    </row>
    <row r="159" hidden="1">
      <c r="T159" s="86" t="n">
        <v>60</v>
      </c>
      <c r="U159" s="86">
        <f>IFERROR(INDEX(Tbl毒調[候選旗標],60),0)</f>
        <v/>
      </c>
      <c r="V159" s="86">
        <f>IF(U159=1,SUM($U$100:U159),0)</f>
        <v/>
      </c>
    </row>
    <row r="160" hidden="1">
      <c r="T160" s="86" t="n">
        <v>61</v>
      </c>
      <c r="U160" s="86">
        <f>IFERROR(INDEX(Tbl毒調[候選旗標],61),0)</f>
        <v/>
      </c>
      <c r="V160" s="86">
        <f>IF(U160=1,SUM($U$100:U160),0)</f>
        <v/>
      </c>
    </row>
    <row r="161" hidden="1">
      <c r="T161" s="86" t="n">
        <v>62</v>
      </c>
      <c r="U161" s="86">
        <f>IFERROR(INDEX(Tbl毒調[候選旗標],62),0)</f>
        <v/>
      </c>
      <c r="V161" s="86">
        <f>IF(U161=1,SUM($U$100:U161),0)</f>
        <v/>
      </c>
    </row>
    <row r="162" hidden="1">
      <c r="T162" s="86" t="n">
        <v>63</v>
      </c>
      <c r="U162" s="86">
        <f>IFERROR(INDEX(Tbl毒調[候選旗標],63),0)</f>
        <v/>
      </c>
      <c r="V162" s="86">
        <f>IF(U162=1,SUM($U$100:U162),0)</f>
        <v/>
      </c>
    </row>
    <row r="163" hidden="1">
      <c r="T163" s="86" t="n">
        <v>64</v>
      </c>
      <c r="U163" s="86">
        <f>IFERROR(INDEX(Tbl毒調[候選旗標],64),0)</f>
        <v/>
      </c>
      <c r="V163" s="86">
        <f>IF(U163=1,SUM($U$100:U163),0)</f>
        <v/>
      </c>
    </row>
    <row r="164" hidden="1">
      <c r="T164" s="86" t="n">
        <v>65</v>
      </c>
      <c r="U164" s="86">
        <f>IFERROR(INDEX(Tbl毒調[候選旗標],65),0)</f>
        <v/>
      </c>
      <c r="V164" s="86">
        <f>IF(U164=1,SUM($U$100:U164),0)</f>
        <v/>
      </c>
    </row>
    <row r="165" hidden="1">
      <c r="T165" s="86" t="n">
        <v>66</v>
      </c>
      <c r="U165" s="86">
        <f>IFERROR(INDEX(Tbl毒調[候選旗標],66),0)</f>
        <v/>
      </c>
      <c r="V165" s="86">
        <f>IF(U165=1,SUM($U$100:U165),0)</f>
        <v/>
      </c>
    </row>
    <row r="166" hidden="1">
      <c r="T166" s="86" t="n">
        <v>67</v>
      </c>
      <c r="U166" s="86">
        <f>IFERROR(INDEX(Tbl毒調[候選旗標],67),0)</f>
        <v/>
      </c>
      <c r="V166" s="86">
        <f>IF(U166=1,SUM($U$100:U166),0)</f>
        <v/>
      </c>
    </row>
    <row r="167" hidden="1">
      <c r="T167" s="86" t="n">
        <v>68</v>
      </c>
      <c r="U167" s="86">
        <f>IFERROR(INDEX(Tbl毒調[候選旗標],68),0)</f>
        <v/>
      </c>
      <c r="V167" s="86">
        <f>IF(U167=1,SUM($U$100:U167),0)</f>
        <v/>
      </c>
    </row>
    <row r="168" hidden="1">
      <c r="T168" s="86" t="n">
        <v>69</v>
      </c>
      <c r="U168" s="86">
        <f>IFERROR(INDEX(Tbl毒調[候選旗標],69),0)</f>
        <v/>
      </c>
      <c r="V168" s="86">
        <f>IF(U168=1,SUM($U$100:U168),0)</f>
        <v/>
      </c>
    </row>
    <row r="169" hidden="1">
      <c r="T169" s="86" t="n">
        <v>70</v>
      </c>
      <c r="U169" s="86">
        <f>IFERROR(INDEX(Tbl毒調[候選旗標],70),0)</f>
        <v/>
      </c>
      <c r="V169" s="86">
        <f>IF(U169=1,SUM($U$100:U169),0)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7">
    <mergeCell ref="A11:I11"/>
    <mergeCell ref="P31:S31"/>
    <mergeCell ref="A8:B8"/>
    <mergeCell ref="C8:D8"/>
    <mergeCell ref="A13:I13"/>
    <mergeCell ref="E8:F8"/>
    <mergeCell ref="A1:S1"/>
    <mergeCell ref="G8:I8"/>
    <mergeCell ref="G9:I9"/>
    <mergeCell ref="P6:S6"/>
    <mergeCell ref="A6:I6"/>
    <mergeCell ref="C9:D9"/>
    <mergeCell ref="A9:B9"/>
    <mergeCell ref="A12:I12"/>
    <mergeCell ref="E9:F9"/>
    <mergeCell ref="A2:S2"/>
    <mergeCell ref="A4:S4"/>
  </mergeCells>
  <dataValidations count="4">
    <dataValidation sqref="D15:D84" showDropDown="0" showInputMessage="0" showErrorMessage="0" allowBlank="1" type="list">
      <formula1>=性別清單</formula1>
    </dataValidation>
    <dataValidation sqref="G15:G84" showDropDown="0" showInputMessage="0" showErrorMessage="0" allowBlank="1" type="list">
      <formula1>=通緝清單</formula1>
    </dataValidation>
    <dataValidation sqref="H15:H84" showDropDown="0" showInputMessage="0" showErrorMessage="0" allowBlank="1" type="list">
      <formula1>=毒品管制情形清單</formula1>
    </dataValidation>
    <dataValidation sqref="J15:J84" showDropDown="0" showInputMessage="0" showErrorMessage="1" allowBlank="1" errorTitle="日期格式錯誤" error="最後到驗日必須是有效日期&#10;範例：2026/05/03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0" topLeftCell="A1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28" customWidth="1" min="5" max="5"/>
    <col width="12" customWidth="1" min="6" max="6"/>
    <col width="32" customWidth="1" min="7" max="7"/>
  </cols>
  <sheetData>
    <row r="1" ht="52" customHeight="1">
      <c r="A1" s="27" t="inlineStr">
        <is>
          <t xml:space="preserve">   🚦  交通績效管制（達成率看板）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12 項違規取締目標達成率 ｜ 資料來源：Tbl交通（頁 9.5 取締明細）｜ 目標：設定表 E 區</t>
        </is>
      </c>
    </row>
    <row r="3" ht="8" customHeight="1"/>
    <row r="4" ht="30" customHeight="1">
      <c r="A4" s="18" t="inlineStr">
        <is>
          <t xml:space="preserve">   💡  本頁公式自動：到頁 9.5 取締明細填新案件 → 本頁達成率/狀態燈即時更新。目標值請去設定表 E 區調整</t>
        </is>
      </c>
      <c r="B4" s="7" t="n"/>
      <c r="C4" s="7" t="n"/>
      <c r="D4" s="7" t="n"/>
      <c r="E4" s="7" t="n"/>
      <c r="F4" s="8" t="n"/>
    </row>
    <row r="5" ht="10" customHeight="1"/>
    <row r="6" ht="34" customHeight="1">
      <c r="A6" s="39" t="inlineStr">
        <is>
          <t xml:space="preserve">   📊  達標縮影（公式自動）</t>
        </is>
      </c>
    </row>
    <row r="7" ht="26" customHeight="1">
      <c r="A7" s="144" t="inlineStr">
        <is>
          <t xml:space="preserve">  ● 達標項數</t>
        </is>
      </c>
      <c r="B7" s="8" t="n"/>
      <c r="C7" s="145" t="inlineStr">
        <is>
          <t xml:space="preserve">  ⚠ 未達標項數</t>
        </is>
      </c>
      <c r="D7" s="8" t="n"/>
      <c r="E7" s="146" t="inlineStr">
        <is>
          <t xml:space="preserve">  📊 總達成率</t>
        </is>
      </c>
      <c r="F7" s="8" t="n"/>
    </row>
    <row r="8" ht="48" customHeight="1">
      <c r="A8" s="147">
        <f>COUNTIF(D14:D19,"&gt;="&amp;0.75)</f>
        <v/>
      </c>
      <c r="B8" s="8" t="n"/>
      <c r="C8" s="148">
        <f>COUNTIF(D14:D19,"&lt;"&amp;0.75)</f>
        <v/>
      </c>
      <c r="D8" s="8" t="n"/>
      <c r="E8" s="149">
        <f>IFERROR(SUM(C14:C19)/SUM(B14:B19),0)</f>
        <v/>
      </c>
      <c r="F8" s="8" t="n"/>
    </row>
    <row r="9" ht="14" customHeight="1"/>
    <row r="10" ht="14" customHeight="1"/>
    <row r="11" ht="34" customHeight="1">
      <c r="A11" s="39" t="inlineStr">
        <is>
          <t xml:space="preserve">   📋  違規項目達成率（依設定表 E 區清單同步）</t>
        </is>
      </c>
    </row>
    <row r="12" ht="10" customHeight="1"/>
    <row r="13" ht="34" customHeight="1">
      <c r="A13" s="10" t="inlineStr">
        <is>
          <t>違規項目</t>
        </is>
      </c>
      <c r="B13" s="10" t="inlineStr">
        <is>
          <t>目標</t>
        </is>
      </c>
      <c r="C13" s="10" t="inlineStr">
        <is>
          <t>達成</t>
        </is>
      </c>
      <c r="D13" s="10" t="inlineStr">
        <is>
          <t>達成率</t>
        </is>
      </c>
      <c r="E13" s="10" t="inlineStr">
        <is>
          <t>視覺（█）</t>
        </is>
      </c>
      <c r="F13" s="10" t="inlineStr">
        <is>
          <t>狀態</t>
        </is>
      </c>
    </row>
    <row r="14" ht="30" customHeight="1">
      <c r="A14" s="13" t="inlineStr">
        <is>
          <t>車輛不停讓行人</t>
        </is>
      </c>
      <c r="B14" s="141" t="n">
        <v>18</v>
      </c>
      <c r="C14" s="141">
        <f>IFERROR(COUNTIFS(Tbl交通[違規項目],A14),0)</f>
        <v/>
      </c>
      <c r="D14" s="150">
        <f>IFERROR(C14/B14,0)</f>
        <v/>
      </c>
      <c r="E14" s="151">
        <f>REPT("█",MIN(20,ROUND(D14*20,0)))</f>
        <v/>
      </c>
      <c r="F14" s="152">
        <f>IF(D14&gt;=0.8,"● 綠",IF(D14&gt;=0.6,"⚠ 黃","● 紅"))</f>
        <v/>
      </c>
    </row>
    <row r="15" ht="30" customHeight="1">
      <c r="A15" s="13" t="inlineStr">
        <is>
          <t>行人違規</t>
        </is>
      </c>
      <c r="B15" s="141" t="n">
        <v>31</v>
      </c>
      <c r="C15" s="141">
        <f>IFERROR(COUNTIFS(Tbl交通[違規項目],A15),0)</f>
        <v/>
      </c>
      <c r="D15" s="150">
        <f>IFERROR(C15/B15,0)</f>
        <v/>
      </c>
      <c r="E15" s="151">
        <f>REPT("█",MIN(20,ROUND(D15*20,0)))</f>
        <v/>
      </c>
      <c r="F15" s="152">
        <f>IF(D15&gt;=0.8,"● 綠",IF(D15&gt;=0.6,"⚠ 黃","● 紅"))</f>
        <v/>
      </c>
    </row>
    <row r="16" ht="30" customHeight="1">
      <c r="A16" s="13" t="inlineStr">
        <is>
          <t>車輛行駛人行道</t>
        </is>
      </c>
      <c r="B16" s="141" t="n">
        <v>19</v>
      </c>
      <c r="C16" s="141">
        <f>IFERROR(COUNTIFS(Tbl交通[違規項目],A16),0)</f>
        <v/>
      </c>
      <c r="D16" s="150">
        <f>IFERROR(C16/B16,0)</f>
        <v/>
      </c>
      <c r="E16" s="151">
        <f>REPT("█",MIN(20,ROUND(D16*20,0)))</f>
        <v/>
      </c>
      <c r="F16" s="152">
        <f>IF(D16&gt;=0.8,"● 綠",IF(D16&gt;=0.6,"⚠ 黃","● 紅"))</f>
        <v/>
      </c>
    </row>
    <row r="17" ht="30" customHeight="1">
      <c r="A17" s="13" t="inlineStr">
        <is>
          <t>移動式測速取締</t>
        </is>
      </c>
      <c r="B17" s="141" t="n">
        <v>0</v>
      </c>
      <c r="C17" s="141">
        <f>IFERROR(COUNTIFS(Tbl交通[違規項目],A17),0)</f>
        <v/>
      </c>
      <c r="D17" s="150">
        <f>IFERROR(C17/B17,0)</f>
        <v/>
      </c>
      <c r="E17" s="151">
        <f>REPT("█",MIN(20,ROUND(D17*20,0)))</f>
        <v/>
      </c>
      <c r="F17" s="152">
        <f>IF(D17&gt;=0.8,"● 綠",IF(D17&gt;=0.6,"⚠ 黃","● 紅"))</f>
        <v/>
      </c>
    </row>
    <row r="18" ht="30" customHeight="1">
      <c r="A18" s="13" t="inlineStr">
        <is>
          <t>大型車動態違規</t>
        </is>
      </c>
      <c r="B18" s="141" t="n">
        <v>7</v>
      </c>
      <c r="C18" s="141">
        <f>IFERROR(COUNTIFS(Tbl交通[違規項目],A18),0)</f>
        <v/>
      </c>
      <c r="D18" s="150">
        <f>IFERROR(C18/B18,0)</f>
        <v/>
      </c>
      <c r="E18" s="151">
        <f>REPT("█",MIN(20,ROUND(D18*20,0)))</f>
        <v/>
      </c>
      <c r="F18" s="152">
        <f>IF(D18&gt;=0.8,"● 綠",IF(D18&gt;=0.6,"⚠ 黃","● 紅"))</f>
        <v/>
      </c>
    </row>
    <row r="19" ht="30" customHeight="1">
      <c r="A19" s="13" t="inlineStr">
        <is>
          <t>慢車易肇事違規</t>
        </is>
      </c>
      <c r="B19" s="141" t="n">
        <v>5</v>
      </c>
      <c r="C19" s="141">
        <f>IFERROR(COUNTIFS(Tbl交通[違規項目],A19),0)</f>
        <v/>
      </c>
      <c r="D19" s="150">
        <f>IFERROR(C19/B19,0)</f>
        <v/>
      </c>
      <c r="E19" s="151">
        <f>REPT("█",MIN(20,ROUND(D19*20,0)))</f>
        <v/>
      </c>
      <c r="F19" s="152">
        <f>IF(D19&gt;=0.8,"● 綠",IF(D19&gt;=0.6,"⚠ 黃","● 紅"))</f>
        <v/>
      </c>
    </row>
    <row r="20" ht="34" customHeight="1">
      <c r="A20" s="103" t="inlineStr">
        <is>
          <t xml:space="preserve">  ─ 全般合計 ─</t>
        </is>
      </c>
      <c r="B20" s="104">
        <f>SUM(B14:B19)</f>
        <v/>
      </c>
      <c r="C20" s="104">
        <f>SUM(C14:C19)</f>
        <v/>
      </c>
      <c r="D20" s="153">
        <f>IFERROR(C20/B20,0)</f>
        <v/>
      </c>
      <c r="E20" s="154">
        <f>REPT("█",MIN(20,ROUND(D20*20,0)))</f>
        <v/>
      </c>
      <c r="F20" s="155">
        <f>IF(D20&gt;=0.8,"● 綠",IF(D20&gt;=0.6,"⚠ 黃","● 紅"))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1">
    <mergeCell ref="A11:F11"/>
    <mergeCell ref="A1:G1"/>
    <mergeCell ref="C7:D7"/>
    <mergeCell ref="A7:B7"/>
    <mergeCell ref="E7:F7"/>
    <mergeCell ref="A6:F6"/>
    <mergeCell ref="A2:G2"/>
    <mergeCell ref="A4:F4"/>
    <mergeCell ref="A8:B8"/>
    <mergeCell ref="E8:F8"/>
    <mergeCell ref="C8:D8"/>
  </mergeCells>
  <conditionalFormatting sqref="D14:D20">
    <cfRule type="expression" priority="1" dxfId="2" stopIfTrue="0">
      <formula>AND(ISNUMBER(D14),D14&gt;=0.8)</formula>
    </cfRule>
    <cfRule type="expression" priority="2" dxfId="1" stopIfTrue="0">
      <formula>AND(ISNUMBER(D14),D14&gt;=0.6,D14&lt;0.8)</formula>
    </cfRule>
    <cfRule type="expression" priority="3" dxfId="0" stopIfTrue="0">
      <formula>AND(ISNUMBER(D14),D14&lt;0.6)</formula>
    </cfRule>
  </conditionalFormatting>
  <conditionalFormatting sqref="F14:F20">
    <cfRule type="expression" priority="4" dxfId="0" stopIfTrue="0">
      <formula>ISNUMBER(SEARCH("紅",F14))</formula>
    </cfRule>
    <cfRule type="expression" priority="5" dxfId="1" stopIfTrue="0">
      <formula>ISNUMBER(SEARCH("黃",F14))</formula>
    </cfRule>
    <cfRule type="expression" priority="6" dxfId="2" stopIfTrue="0">
      <formula>ISNUMBER(SEARCH("綠",F14))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0"/>
  <sheetViews>
    <sheetView tabSelected="0" topLeftCell="A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6" customWidth="1" min="4" max="4"/>
    <col width="14" customWidth="1" min="5" max="5"/>
    <col width="32" customWidth="1" min="6" max="6"/>
    <col width="32" customWidth="1" min="7" max="7"/>
  </cols>
  <sheetData>
    <row r="1" ht="52" customHeight="1">
      <c r="A1" s="27" t="inlineStr">
        <is>
          <t xml:space="preserve">   📋  交通取締明細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📊 容量：5 已用 / 196 上限</t>
        </is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8" t="n"/>
    </row>
    <row r="5" ht="26" customHeight="1">
      <c r="A5" s="28" t="inlineStr">
        <is>
          <t xml:space="preserve">   🔗  SSOT：本表 Tbl交通 是其他頁面公式的資料源。修改後其他頁的 KPI、報告、檢核都會即時更新</t>
        </is>
      </c>
      <c r="B5" s="7" t="n"/>
      <c r="C5" s="7" t="n"/>
      <c r="D5" s="7" t="n"/>
      <c r="E5" s="7" t="n"/>
      <c r="F5" s="8" t="n"/>
    </row>
    <row r="6" ht="6" customHeight="1"/>
    <row r="7" ht="6" customHeight="1"/>
    <row r="8" ht="6" customHeight="1"/>
    <row r="9" ht="6" customHeight="1"/>
    <row r="10" ht="6" customHeight="1"/>
    <row r="11" ht="6" customHeight="1"/>
    <row r="12" ht="6" customHeight="1"/>
    <row r="13" ht="16" customHeight="1"/>
    <row r="14" ht="34" customHeight="1">
      <c r="A14" s="10" t="inlineStr">
        <is>
          <t>編號</t>
        </is>
      </c>
      <c r="B14" s="10" t="inlineStr">
        <is>
          <t>取締日期</t>
        </is>
      </c>
      <c r="C14" s="10" t="inlineStr">
        <is>
          <t>違規項目</t>
        </is>
      </c>
      <c r="D14" s="10" t="inlineStr">
        <is>
          <t>舉發單號</t>
        </is>
      </c>
      <c r="E14" s="10" t="inlineStr">
        <is>
          <t>取締員警</t>
        </is>
      </c>
      <c r="F14" s="10" t="inlineStr">
        <is>
          <t>備註</t>
        </is>
      </c>
    </row>
    <row r="15" ht="30" customHeight="1">
      <c r="A15" s="223" t="n"/>
      <c r="B15" s="226" t="n"/>
      <c r="C15" s="223" t="n"/>
      <c r="D15" s="223" t="n"/>
      <c r="E15" s="223" t="n"/>
      <c r="F15" s="223" t="n"/>
    </row>
    <row r="16" ht="30" customHeight="1">
      <c r="A16" s="223" t="n"/>
      <c r="B16" s="226" t="n"/>
      <c r="C16" s="223" t="n"/>
      <c r="D16" s="223" t="n"/>
      <c r="E16" s="223" t="n"/>
      <c r="F16" s="223" t="n"/>
    </row>
    <row r="17" ht="30" customHeight="1">
      <c r="A17" s="223" t="n"/>
      <c r="B17" s="226" t="n"/>
      <c r="C17" s="223" t="n"/>
      <c r="D17" s="223" t="n"/>
      <c r="E17" s="223" t="n"/>
      <c r="F17" s="223" t="n"/>
    </row>
    <row r="18" ht="30" customHeight="1">
      <c r="A18" s="223" t="n"/>
      <c r="B18" s="226" t="n"/>
      <c r="C18" s="223" t="n"/>
      <c r="D18" s="223" t="n"/>
      <c r="E18" s="223" t="n"/>
      <c r="F18" s="223" t="n"/>
    </row>
    <row r="19" ht="30" customHeight="1">
      <c r="A19" s="223" t="n"/>
      <c r="B19" s="226" t="n"/>
      <c r="C19" s="223" t="n"/>
      <c r="D19" s="223" t="n"/>
      <c r="E19" s="223" t="n"/>
      <c r="F19" s="223" t="n"/>
    </row>
    <row r="20" ht="30" customHeight="1">
      <c r="A20" s="227" t="n"/>
      <c r="B20" s="230" t="n"/>
      <c r="C20" s="227" t="n"/>
      <c r="D20" s="227" t="n"/>
      <c r="E20" s="227" t="n"/>
      <c r="F20" s="227" t="n"/>
    </row>
    <row r="21" ht="30" customHeight="1">
      <c r="A21" s="227" t="n"/>
      <c r="B21" s="230" t="n"/>
      <c r="C21" s="227" t="n"/>
      <c r="D21" s="227" t="n"/>
      <c r="E21" s="227" t="n"/>
      <c r="F21" s="227" t="n"/>
    </row>
    <row r="22" ht="30" customHeight="1">
      <c r="A22" s="227" t="n"/>
      <c r="B22" s="230" t="n"/>
      <c r="C22" s="227" t="n"/>
      <c r="D22" s="227" t="n"/>
      <c r="E22" s="227" t="n"/>
      <c r="F22" s="227" t="n"/>
    </row>
    <row r="23" ht="30" customHeight="1">
      <c r="A23" s="227" t="n"/>
      <c r="B23" s="230" t="n"/>
      <c r="C23" s="227" t="n"/>
      <c r="D23" s="227" t="n"/>
      <c r="E23" s="227" t="n"/>
      <c r="F23" s="227" t="n"/>
    </row>
    <row r="24" ht="30" customHeight="1">
      <c r="A24" s="227" t="n"/>
      <c r="B24" s="230" t="n"/>
      <c r="C24" s="227" t="n"/>
      <c r="D24" s="227" t="n"/>
      <c r="E24" s="227" t="n"/>
      <c r="F24" s="227" t="n"/>
    </row>
    <row r="25" ht="30" customHeight="1">
      <c r="A25" s="227" t="n"/>
      <c r="B25" s="230" t="n"/>
      <c r="C25" s="227" t="n"/>
      <c r="D25" s="227" t="n"/>
      <c r="E25" s="227" t="n"/>
      <c r="F25" s="227" t="n"/>
    </row>
    <row r="26" ht="30" customHeight="1">
      <c r="A26" s="227" t="n"/>
      <c r="B26" s="230" t="n"/>
      <c r="C26" s="227" t="n"/>
      <c r="D26" s="227" t="n"/>
      <c r="E26" s="227" t="n"/>
      <c r="F26" s="227" t="n"/>
    </row>
    <row r="27" ht="30" customHeight="1">
      <c r="A27" s="227" t="n"/>
      <c r="B27" s="230" t="n"/>
      <c r="C27" s="227" t="n"/>
      <c r="D27" s="227" t="n"/>
      <c r="E27" s="227" t="n"/>
      <c r="F27" s="227" t="n"/>
    </row>
    <row r="28" ht="30" customHeight="1">
      <c r="A28" s="227" t="n"/>
      <c r="B28" s="230" t="n"/>
      <c r="C28" s="227" t="n"/>
      <c r="D28" s="227" t="n"/>
      <c r="E28" s="227" t="n"/>
      <c r="F28" s="227" t="n"/>
    </row>
    <row r="29" ht="30" customHeight="1">
      <c r="A29" s="227" t="n"/>
      <c r="B29" s="230" t="n"/>
      <c r="C29" s="227" t="n"/>
      <c r="D29" s="227" t="n"/>
      <c r="E29" s="227" t="n"/>
      <c r="F29" s="227" t="n"/>
    </row>
    <row r="30" ht="30" customHeight="1">
      <c r="A30" s="227" t="n"/>
      <c r="B30" s="230" t="n"/>
      <c r="C30" s="227" t="n"/>
      <c r="D30" s="227" t="n"/>
      <c r="E30" s="227" t="n"/>
      <c r="F30" s="227" t="n"/>
    </row>
    <row r="31" ht="30" customHeight="1">
      <c r="A31" s="227" t="n"/>
      <c r="B31" s="230" t="n"/>
      <c r="C31" s="227" t="n"/>
      <c r="D31" s="227" t="n"/>
      <c r="E31" s="227" t="n"/>
      <c r="F31" s="227" t="n"/>
    </row>
    <row r="32" ht="30" customHeight="1">
      <c r="A32" s="227" t="n"/>
      <c r="B32" s="230" t="n"/>
      <c r="C32" s="227" t="n"/>
      <c r="D32" s="227" t="n"/>
      <c r="E32" s="227" t="n"/>
      <c r="F32" s="227" t="n"/>
    </row>
    <row r="33" ht="30" customHeight="1">
      <c r="A33" s="227" t="n"/>
      <c r="B33" s="230" t="n"/>
      <c r="C33" s="227" t="n"/>
      <c r="D33" s="227" t="n"/>
      <c r="E33" s="227" t="n"/>
      <c r="F33" s="227" t="n"/>
    </row>
    <row r="34" ht="30" customHeight="1">
      <c r="A34" s="227" t="n"/>
      <c r="B34" s="230" t="n"/>
      <c r="C34" s="227" t="n"/>
      <c r="D34" s="227" t="n"/>
      <c r="E34" s="227" t="n"/>
      <c r="F34" s="227" t="n"/>
    </row>
    <row r="35" ht="30" customHeight="1">
      <c r="A35" s="227" t="n"/>
      <c r="B35" s="230" t="n"/>
      <c r="C35" s="227" t="n"/>
      <c r="D35" s="227" t="n"/>
      <c r="E35" s="227" t="n"/>
      <c r="F35" s="227" t="n"/>
    </row>
    <row r="36" ht="30" customHeight="1">
      <c r="A36" s="227" t="n"/>
      <c r="B36" s="230" t="n"/>
      <c r="C36" s="227" t="n"/>
      <c r="D36" s="227" t="n"/>
      <c r="E36" s="227" t="n"/>
      <c r="F36" s="227" t="n"/>
    </row>
    <row r="37" ht="30" customHeight="1">
      <c r="A37" s="227" t="n"/>
      <c r="B37" s="230" t="n"/>
      <c r="C37" s="227" t="n"/>
      <c r="D37" s="227" t="n"/>
      <c r="E37" s="227" t="n"/>
      <c r="F37" s="227" t="n"/>
    </row>
    <row r="38" ht="30" customHeight="1">
      <c r="A38" s="227" t="n"/>
      <c r="B38" s="230" t="n"/>
      <c r="C38" s="227" t="n"/>
      <c r="D38" s="227" t="n"/>
      <c r="E38" s="227" t="n"/>
      <c r="F38" s="227" t="n"/>
    </row>
    <row r="39" ht="30" customHeight="1">
      <c r="A39" s="227" t="n"/>
      <c r="B39" s="230" t="n"/>
      <c r="C39" s="227" t="n"/>
      <c r="D39" s="227" t="n"/>
      <c r="E39" s="227" t="n"/>
      <c r="F39" s="227" t="n"/>
    </row>
    <row r="40" ht="30" customHeight="1">
      <c r="A40" s="227" t="n"/>
      <c r="B40" s="230" t="n"/>
      <c r="C40" s="227" t="n"/>
      <c r="D40" s="227" t="n"/>
      <c r="E40" s="227" t="n"/>
      <c r="F40" s="227" t="n"/>
    </row>
    <row r="41" ht="30" customHeight="1">
      <c r="A41" s="227" t="n"/>
      <c r="B41" s="230" t="n"/>
      <c r="C41" s="227" t="n"/>
      <c r="D41" s="227" t="n"/>
      <c r="E41" s="227" t="n"/>
      <c r="F41" s="227" t="n"/>
    </row>
    <row r="42" ht="30" customHeight="1">
      <c r="A42" s="227" t="n"/>
      <c r="B42" s="230" t="n"/>
      <c r="C42" s="227" t="n"/>
      <c r="D42" s="227" t="n"/>
      <c r="E42" s="227" t="n"/>
      <c r="F42" s="227" t="n"/>
    </row>
    <row r="43" ht="30" customHeight="1">
      <c r="A43" s="227" t="n"/>
      <c r="B43" s="230" t="n"/>
      <c r="C43" s="227" t="n"/>
      <c r="D43" s="227" t="n"/>
      <c r="E43" s="227" t="n"/>
      <c r="F43" s="227" t="n"/>
    </row>
    <row r="44" ht="30" customHeight="1">
      <c r="A44" s="227" t="n"/>
      <c r="B44" s="230" t="n"/>
      <c r="C44" s="227" t="n"/>
      <c r="D44" s="227" t="n"/>
      <c r="E44" s="227" t="n"/>
      <c r="F44" s="227" t="n"/>
    </row>
    <row r="45" ht="30" customHeight="1">
      <c r="A45" s="227" t="n"/>
      <c r="B45" s="230" t="n"/>
      <c r="C45" s="227" t="n"/>
      <c r="D45" s="227" t="n"/>
      <c r="E45" s="227" t="n"/>
      <c r="F45" s="227" t="n"/>
    </row>
    <row r="46" ht="30" customHeight="1">
      <c r="A46" s="227" t="n"/>
      <c r="B46" s="230" t="n"/>
      <c r="C46" s="227" t="n"/>
      <c r="D46" s="227" t="n"/>
      <c r="E46" s="227" t="n"/>
      <c r="F46" s="227" t="n"/>
    </row>
    <row r="47" ht="30" customHeight="1">
      <c r="A47" s="227" t="n"/>
      <c r="B47" s="230" t="n"/>
      <c r="C47" s="227" t="n"/>
      <c r="D47" s="227" t="n"/>
      <c r="E47" s="227" t="n"/>
      <c r="F47" s="227" t="n"/>
    </row>
    <row r="48" ht="30" customHeight="1">
      <c r="A48" s="227" t="n"/>
      <c r="B48" s="230" t="n"/>
      <c r="C48" s="227" t="n"/>
      <c r="D48" s="227" t="n"/>
      <c r="E48" s="227" t="n"/>
      <c r="F48" s="227" t="n"/>
    </row>
    <row r="49" ht="30" customHeight="1">
      <c r="A49" s="227" t="n"/>
      <c r="B49" s="230" t="n"/>
      <c r="C49" s="227" t="n"/>
      <c r="D49" s="227" t="n"/>
      <c r="E49" s="227" t="n"/>
      <c r="F49" s="227" t="n"/>
    </row>
    <row r="50" ht="30" customHeight="1">
      <c r="A50" s="227" t="n"/>
      <c r="B50" s="230" t="n"/>
      <c r="C50" s="227" t="n"/>
      <c r="D50" s="227" t="n"/>
      <c r="E50" s="227" t="n"/>
      <c r="F50" s="227" t="n"/>
    </row>
    <row r="51" ht="30" customHeight="1">
      <c r="A51" s="227" t="n"/>
      <c r="B51" s="230" t="n"/>
      <c r="C51" s="227" t="n"/>
      <c r="D51" s="227" t="n"/>
      <c r="E51" s="227" t="n"/>
      <c r="F51" s="227" t="n"/>
    </row>
    <row r="52" ht="30" customHeight="1">
      <c r="A52" s="227" t="n"/>
      <c r="B52" s="230" t="n"/>
      <c r="C52" s="227" t="n"/>
      <c r="D52" s="227" t="n"/>
      <c r="E52" s="227" t="n"/>
      <c r="F52" s="227" t="n"/>
    </row>
    <row r="53" ht="30" customHeight="1">
      <c r="A53" s="227" t="n"/>
      <c r="B53" s="230" t="n"/>
      <c r="C53" s="227" t="n"/>
      <c r="D53" s="227" t="n"/>
      <c r="E53" s="227" t="n"/>
      <c r="F53" s="227" t="n"/>
    </row>
    <row r="54" ht="30" customHeight="1">
      <c r="A54" s="227" t="n"/>
      <c r="B54" s="230" t="n"/>
      <c r="C54" s="227" t="n"/>
      <c r="D54" s="227" t="n"/>
      <c r="E54" s="227" t="n"/>
      <c r="F54" s="227" t="n"/>
    </row>
    <row r="55" ht="30" customHeight="1">
      <c r="A55" s="227" t="n"/>
      <c r="B55" s="230" t="n"/>
      <c r="C55" s="227" t="n"/>
      <c r="D55" s="227" t="n"/>
      <c r="E55" s="227" t="n"/>
      <c r="F55" s="227" t="n"/>
    </row>
    <row r="56" ht="30" customHeight="1">
      <c r="A56" s="227" t="n"/>
      <c r="B56" s="230" t="n"/>
      <c r="C56" s="227" t="n"/>
      <c r="D56" s="227" t="n"/>
      <c r="E56" s="227" t="n"/>
      <c r="F56" s="227" t="n"/>
    </row>
    <row r="57" ht="30" customHeight="1">
      <c r="A57" s="227" t="n"/>
      <c r="B57" s="230" t="n"/>
      <c r="C57" s="227" t="n"/>
      <c r="D57" s="227" t="n"/>
      <c r="E57" s="227" t="n"/>
      <c r="F57" s="227" t="n"/>
    </row>
    <row r="58" ht="30" customHeight="1">
      <c r="A58" s="227" t="n"/>
      <c r="B58" s="230" t="n"/>
      <c r="C58" s="227" t="n"/>
      <c r="D58" s="227" t="n"/>
      <c r="E58" s="227" t="n"/>
      <c r="F58" s="227" t="n"/>
    </row>
    <row r="59" ht="30" customHeight="1">
      <c r="A59" s="227" t="n"/>
      <c r="B59" s="230" t="n"/>
      <c r="C59" s="227" t="n"/>
      <c r="D59" s="227" t="n"/>
      <c r="E59" s="227" t="n"/>
      <c r="F59" s="227" t="n"/>
    </row>
    <row r="60" ht="30" customHeight="1">
      <c r="A60" s="227" t="n"/>
      <c r="B60" s="230" t="n"/>
      <c r="C60" s="227" t="n"/>
      <c r="D60" s="227" t="n"/>
      <c r="E60" s="227" t="n"/>
      <c r="F60" s="227" t="n"/>
    </row>
    <row r="61" ht="30" customHeight="1">
      <c r="A61" s="227" t="n"/>
      <c r="B61" s="230" t="n"/>
      <c r="C61" s="227" t="n"/>
      <c r="D61" s="227" t="n"/>
      <c r="E61" s="227" t="n"/>
      <c r="F61" s="227" t="n"/>
    </row>
    <row r="62" ht="30" customHeight="1">
      <c r="A62" s="227" t="n"/>
      <c r="B62" s="230" t="n"/>
      <c r="C62" s="227" t="n"/>
      <c r="D62" s="227" t="n"/>
      <c r="E62" s="227" t="n"/>
      <c r="F62" s="227" t="n"/>
    </row>
    <row r="63" ht="30" customHeight="1">
      <c r="A63" s="227" t="n"/>
      <c r="B63" s="230" t="n"/>
      <c r="C63" s="227" t="n"/>
      <c r="D63" s="227" t="n"/>
      <c r="E63" s="227" t="n"/>
      <c r="F63" s="227" t="n"/>
    </row>
    <row r="64" ht="30" customHeight="1">
      <c r="A64" s="227" t="n"/>
      <c r="B64" s="230" t="n"/>
      <c r="C64" s="227" t="n"/>
      <c r="D64" s="227" t="n"/>
      <c r="E64" s="227" t="n"/>
      <c r="F64" s="227" t="n"/>
    </row>
    <row r="65" ht="30" customHeight="1">
      <c r="A65" s="227" t="n"/>
      <c r="B65" s="230" t="n"/>
      <c r="C65" s="227" t="n"/>
      <c r="D65" s="227" t="n"/>
      <c r="E65" s="227" t="n"/>
      <c r="F65" s="227" t="n"/>
    </row>
    <row r="66" ht="30" customHeight="1">
      <c r="A66" s="227" t="n"/>
      <c r="B66" s="230" t="n"/>
      <c r="C66" s="227" t="n"/>
      <c r="D66" s="227" t="n"/>
      <c r="E66" s="227" t="n"/>
      <c r="F66" s="227" t="n"/>
    </row>
    <row r="67" ht="30" customHeight="1">
      <c r="A67" s="227" t="n"/>
      <c r="B67" s="230" t="n"/>
      <c r="C67" s="227" t="n"/>
      <c r="D67" s="227" t="n"/>
      <c r="E67" s="227" t="n"/>
      <c r="F67" s="227" t="n"/>
    </row>
    <row r="68" ht="30" customHeight="1">
      <c r="A68" s="227" t="n"/>
      <c r="B68" s="230" t="n"/>
      <c r="C68" s="227" t="n"/>
      <c r="D68" s="227" t="n"/>
      <c r="E68" s="227" t="n"/>
      <c r="F68" s="227" t="n"/>
    </row>
    <row r="69" ht="30" customHeight="1">
      <c r="A69" s="227" t="n"/>
      <c r="B69" s="230" t="n"/>
      <c r="C69" s="227" t="n"/>
      <c r="D69" s="227" t="n"/>
      <c r="E69" s="227" t="n"/>
      <c r="F69" s="227" t="n"/>
    </row>
    <row r="70" ht="30" customHeight="1">
      <c r="A70" s="227" t="n"/>
      <c r="B70" s="230" t="n"/>
      <c r="C70" s="227" t="n"/>
      <c r="D70" s="227" t="n"/>
      <c r="E70" s="227" t="n"/>
      <c r="F70" s="227" t="n"/>
    </row>
    <row r="71" ht="30" customHeight="1">
      <c r="A71" s="227" t="n"/>
      <c r="B71" s="230" t="n"/>
      <c r="C71" s="227" t="n"/>
      <c r="D71" s="227" t="n"/>
      <c r="E71" s="227" t="n"/>
      <c r="F71" s="227" t="n"/>
    </row>
    <row r="72" ht="30" customHeight="1">
      <c r="A72" s="227" t="n"/>
      <c r="B72" s="230" t="n"/>
      <c r="C72" s="227" t="n"/>
      <c r="D72" s="227" t="n"/>
      <c r="E72" s="227" t="n"/>
      <c r="F72" s="227" t="n"/>
    </row>
    <row r="73" ht="30" customHeight="1">
      <c r="A73" s="227" t="n"/>
      <c r="B73" s="230" t="n"/>
      <c r="C73" s="227" t="n"/>
      <c r="D73" s="227" t="n"/>
      <c r="E73" s="227" t="n"/>
      <c r="F73" s="227" t="n"/>
    </row>
    <row r="74" ht="30" customHeight="1">
      <c r="A74" s="227" t="n"/>
      <c r="B74" s="230" t="n"/>
      <c r="C74" s="227" t="n"/>
      <c r="D74" s="227" t="n"/>
      <c r="E74" s="227" t="n"/>
      <c r="F74" s="227" t="n"/>
    </row>
    <row r="75" ht="30" customHeight="1">
      <c r="A75" s="227" t="n"/>
      <c r="B75" s="230" t="n"/>
      <c r="C75" s="227" t="n"/>
      <c r="D75" s="227" t="n"/>
      <c r="E75" s="227" t="n"/>
      <c r="F75" s="227" t="n"/>
    </row>
    <row r="76" ht="30" customHeight="1">
      <c r="A76" s="227" t="n"/>
      <c r="B76" s="230" t="n"/>
      <c r="C76" s="227" t="n"/>
      <c r="D76" s="227" t="n"/>
      <c r="E76" s="227" t="n"/>
      <c r="F76" s="227" t="n"/>
    </row>
    <row r="77" ht="30" customHeight="1">
      <c r="A77" s="227" t="n"/>
      <c r="B77" s="230" t="n"/>
      <c r="C77" s="227" t="n"/>
      <c r="D77" s="227" t="n"/>
      <c r="E77" s="227" t="n"/>
      <c r="F77" s="227" t="n"/>
    </row>
    <row r="78" ht="30" customHeight="1">
      <c r="A78" s="227" t="n"/>
      <c r="B78" s="230" t="n"/>
      <c r="C78" s="227" t="n"/>
      <c r="D78" s="227" t="n"/>
      <c r="E78" s="227" t="n"/>
      <c r="F78" s="227" t="n"/>
    </row>
    <row r="79" ht="30" customHeight="1">
      <c r="A79" s="227" t="n"/>
      <c r="B79" s="230" t="n"/>
      <c r="C79" s="227" t="n"/>
      <c r="D79" s="227" t="n"/>
      <c r="E79" s="227" t="n"/>
      <c r="F79" s="227" t="n"/>
    </row>
    <row r="80" ht="30" customHeight="1">
      <c r="A80" s="227" t="n"/>
      <c r="B80" s="230" t="n"/>
      <c r="C80" s="227" t="n"/>
      <c r="D80" s="227" t="n"/>
      <c r="E80" s="227" t="n"/>
      <c r="F80" s="227" t="n"/>
    </row>
    <row r="81" ht="30" customHeight="1">
      <c r="A81" s="227" t="n"/>
      <c r="B81" s="230" t="n"/>
      <c r="C81" s="227" t="n"/>
      <c r="D81" s="227" t="n"/>
      <c r="E81" s="227" t="n"/>
      <c r="F81" s="227" t="n"/>
    </row>
    <row r="82" ht="30" customHeight="1">
      <c r="A82" s="227" t="n"/>
      <c r="B82" s="230" t="n"/>
      <c r="C82" s="227" t="n"/>
      <c r="D82" s="227" t="n"/>
      <c r="E82" s="227" t="n"/>
      <c r="F82" s="227" t="n"/>
    </row>
    <row r="83" ht="30" customHeight="1">
      <c r="A83" s="227" t="n"/>
      <c r="B83" s="230" t="n"/>
      <c r="C83" s="227" t="n"/>
      <c r="D83" s="227" t="n"/>
      <c r="E83" s="227" t="n"/>
      <c r="F83" s="227" t="n"/>
    </row>
    <row r="84" ht="30" customHeight="1">
      <c r="A84" s="227" t="n"/>
      <c r="B84" s="230" t="n"/>
      <c r="C84" s="227" t="n"/>
      <c r="D84" s="227" t="n"/>
      <c r="E84" s="227" t="n"/>
      <c r="F84" s="227" t="n"/>
    </row>
    <row r="85" ht="30" customHeight="1">
      <c r="A85" s="227" t="n"/>
      <c r="B85" s="230" t="n"/>
      <c r="C85" s="227" t="n"/>
      <c r="D85" s="227" t="n"/>
      <c r="E85" s="227" t="n"/>
      <c r="F85" s="227" t="n"/>
    </row>
    <row r="86" ht="30" customHeight="1">
      <c r="A86" s="227" t="n"/>
      <c r="B86" s="230" t="n"/>
      <c r="C86" s="227" t="n"/>
      <c r="D86" s="227" t="n"/>
      <c r="E86" s="227" t="n"/>
      <c r="F86" s="227" t="n"/>
    </row>
    <row r="87" ht="30" customHeight="1">
      <c r="A87" s="227" t="n"/>
      <c r="B87" s="230" t="n"/>
      <c r="C87" s="227" t="n"/>
      <c r="D87" s="227" t="n"/>
      <c r="E87" s="227" t="n"/>
      <c r="F87" s="227" t="n"/>
    </row>
    <row r="88" ht="30" customHeight="1">
      <c r="A88" s="227" t="n"/>
      <c r="B88" s="230" t="n"/>
      <c r="C88" s="227" t="n"/>
      <c r="D88" s="227" t="n"/>
      <c r="E88" s="227" t="n"/>
      <c r="F88" s="227" t="n"/>
    </row>
    <row r="89" ht="30" customHeight="1">
      <c r="A89" s="227" t="n"/>
      <c r="B89" s="230" t="n"/>
      <c r="C89" s="227" t="n"/>
      <c r="D89" s="227" t="n"/>
      <c r="E89" s="227" t="n"/>
      <c r="F89" s="227" t="n"/>
    </row>
    <row r="90" ht="30" customHeight="1">
      <c r="A90" s="227" t="n"/>
      <c r="B90" s="230" t="n"/>
      <c r="C90" s="227" t="n"/>
      <c r="D90" s="227" t="n"/>
      <c r="E90" s="227" t="n"/>
      <c r="F90" s="227" t="n"/>
    </row>
    <row r="91" ht="30" customHeight="1">
      <c r="A91" s="227" t="n"/>
      <c r="B91" s="230" t="n"/>
      <c r="C91" s="227" t="n"/>
      <c r="D91" s="227" t="n"/>
      <c r="E91" s="227" t="n"/>
      <c r="F91" s="227" t="n"/>
    </row>
    <row r="92" ht="30" customHeight="1">
      <c r="A92" s="227" t="n"/>
      <c r="B92" s="230" t="n"/>
      <c r="C92" s="227" t="n"/>
      <c r="D92" s="227" t="n"/>
      <c r="E92" s="227" t="n"/>
      <c r="F92" s="227" t="n"/>
    </row>
    <row r="93" ht="30" customHeight="1">
      <c r="A93" s="227" t="n"/>
      <c r="B93" s="230" t="n"/>
      <c r="C93" s="227" t="n"/>
      <c r="D93" s="227" t="n"/>
      <c r="E93" s="227" t="n"/>
      <c r="F93" s="227" t="n"/>
    </row>
    <row r="94" ht="30" customHeight="1">
      <c r="A94" s="227" t="n"/>
      <c r="B94" s="230" t="n"/>
      <c r="C94" s="227" t="n"/>
      <c r="D94" s="227" t="n"/>
      <c r="E94" s="227" t="n"/>
      <c r="F94" s="227" t="n"/>
    </row>
    <row r="95" ht="30" customHeight="1">
      <c r="A95" s="227" t="n"/>
      <c r="B95" s="230" t="n"/>
      <c r="C95" s="227" t="n"/>
      <c r="D95" s="227" t="n"/>
      <c r="E95" s="227" t="n"/>
      <c r="F95" s="227" t="n"/>
    </row>
    <row r="96" ht="30" customHeight="1">
      <c r="A96" s="227" t="n"/>
      <c r="B96" s="230" t="n"/>
      <c r="C96" s="227" t="n"/>
      <c r="D96" s="227" t="n"/>
      <c r="E96" s="227" t="n"/>
      <c r="F96" s="227" t="n"/>
    </row>
    <row r="97" ht="30" customHeight="1">
      <c r="A97" s="227" t="n"/>
      <c r="B97" s="230" t="n"/>
      <c r="C97" s="227" t="n"/>
      <c r="D97" s="227" t="n"/>
      <c r="E97" s="227" t="n"/>
      <c r="F97" s="227" t="n"/>
    </row>
    <row r="98" ht="30" customHeight="1">
      <c r="A98" s="227" t="n"/>
      <c r="B98" s="230" t="n"/>
      <c r="C98" s="227" t="n"/>
      <c r="D98" s="227" t="n"/>
      <c r="E98" s="227" t="n"/>
      <c r="F98" s="227" t="n"/>
    </row>
    <row r="99" ht="30" customHeight="1">
      <c r="A99" s="227" t="n"/>
      <c r="B99" s="230" t="n"/>
      <c r="C99" s="227" t="n"/>
      <c r="D99" s="227" t="n"/>
      <c r="E99" s="227" t="n"/>
      <c r="F99" s="227" t="n"/>
    </row>
    <row r="100" ht="30" customHeight="1">
      <c r="A100" s="227" t="n"/>
      <c r="B100" s="230" t="n"/>
      <c r="C100" s="227" t="n"/>
      <c r="D100" s="227" t="n"/>
      <c r="E100" s="227" t="n"/>
      <c r="F100" s="227" t="n"/>
    </row>
    <row r="101" ht="30" customHeight="1">
      <c r="A101" s="227" t="n"/>
      <c r="B101" s="230" t="n"/>
      <c r="C101" s="227" t="n"/>
      <c r="D101" s="227" t="n"/>
      <c r="E101" s="227" t="n"/>
      <c r="F101" s="227" t="n"/>
    </row>
    <row r="102" ht="30" customHeight="1">
      <c r="A102" s="227" t="n"/>
      <c r="B102" s="230" t="n"/>
      <c r="C102" s="227" t="n"/>
      <c r="D102" s="227" t="n"/>
      <c r="E102" s="227" t="n"/>
      <c r="F102" s="227" t="n"/>
    </row>
    <row r="103" ht="30" customHeight="1">
      <c r="A103" s="227" t="n"/>
      <c r="B103" s="230" t="n"/>
      <c r="C103" s="227" t="n"/>
      <c r="D103" s="227" t="n"/>
      <c r="E103" s="227" t="n"/>
      <c r="F103" s="227" t="n"/>
    </row>
    <row r="104" ht="30" customHeight="1">
      <c r="A104" s="227" t="n"/>
      <c r="B104" s="230" t="n"/>
      <c r="C104" s="227" t="n"/>
      <c r="D104" s="227" t="n"/>
      <c r="E104" s="227" t="n"/>
      <c r="F104" s="227" t="n"/>
    </row>
    <row r="105" ht="30" customHeight="1">
      <c r="A105" s="227" t="n"/>
      <c r="B105" s="230" t="n"/>
      <c r="C105" s="227" t="n"/>
      <c r="D105" s="227" t="n"/>
      <c r="E105" s="227" t="n"/>
      <c r="F105" s="227" t="n"/>
    </row>
    <row r="106" ht="30" customHeight="1">
      <c r="A106" s="227" t="n"/>
      <c r="B106" s="230" t="n"/>
      <c r="C106" s="227" t="n"/>
      <c r="D106" s="227" t="n"/>
      <c r="E106" s="227" t="n"/>
      <c r="F106" s="227" t="n"/>
    </row>
    <row r="107" ht="30" customHeight="1">
      <c r="A107" s="227" t="n"/>
      <c r="B107" s="230" t="n"/>
      <c r="C107" s="227" t="n"/>
      <c r="D107" s="227" t="n"/>
      <c r="E107" s="227" t="n"/>
      <c r="F107" s="227" t="n"/>
    </row>
    <row r="108" ht="30" customHeight="1">
      <c r="A108" s="227" t="n"/>
      <c r="B108" s="230" t="n"/>
      <c r="C108" s="227" t="n"/>
      <c r="D108" s="227" t="n"/>
      <c r="E108" s="227" t="n"/>
      <c r="F108" s="227" t="n"/>
    </row>
    <row r="109" ht="30" customHeight="1">
      <c r="A109" s="227" t="n"/>
      <c r="B109" s="230" t="n"/>
      <c r="C109" s="227" t="n"/>
      <c r="D109" s="227" t="n"/>
      <c r="E109" s="227" t="n"/>
      <c r="F109" s="227" t="n"/>
    </row>
    <row r="110" ht="30" customHeight="1">
      <c r="A110" s="227" t="n"/>
      <c r="B110" s="230" t="n"/>
      <c r="C110" s="227" t="n"/>
      <c r="D110" s="227" t="n"/>
      <c r="E110" s="227" t="n"/>
      <c r="F110" s="227" t="n"/>
    </row>
    <row r="111" ht="30" customHeight="1">
      <c r="A111" s="227" t="n"/>
      <c r="B111" s="230" t="n"/>
      <c r="C111" s="227" t="n"/>
      <c r="D111" s="227" t="n"/>
      <c r="E111" s="227" t="n"/>
      <c r="F111" s="227" t="n"/>
    </row>
    <row r="112" ht="30" customHeight="1">
      <c r="A112" s="227" t="n"/>
      <c r="B112" s="230" t="n"/>
      <c r="C112" s="227" t="n"/>
      <c r="D112" s="227" t="n"/>
      <c r="E112" s="227" t="n"/>
      <c r="F112" s="227" t="n"/>
    </row>
    <row r="113" ht="30" customHeight="1">
      <c r="A113" s="227" t="n"/>
      <c r="B113" s="230" t="n"/>
      <c r="C113" s="227" t="n"/>
      <c r="D113" s="227" t="n"/>
      <c r="E113" s="227" t="n"/>
      <c r="F113" s="227" t="n"/>
    </row>
    <row r="114" ht="30" customHeight="1">
      <c r="A114" s="227" t="n"/>
      <c r="B114" s="230" t="n"/>
      <c r="C114" s="227" t="n"/>
      <c r="D114" s="227" t="n"/>
      <c r="E114" s="227" t="n"/>
      <c r="F114" s="227" t="n"/>
    </row>
    <row r="115" ht="30" customHeight="1">
      <c r="A115" s="227" t="n"/>
      <c r="B115" s="230" t="n"/>
      <c r="C115" s="227" t="n"/>
      <c r="D115" s="227" t="n"/>
      <c r="E115" s="227" t="n"/>
      <c r="F115" s="227" t="n"/>
    </row>
    <row r="116" ht="30" customHeight="1">
      <c r="A116" s="227" t="n"/>
      <c r="B116" s="230" t="n"/>
      <c r="C116" s="227" t="n"/>
      <c r="D116" s="227" t="n"/>
      <c r="E116" s="227" t="n"/>
      <c r="F116" s="227" t="n"/>
    </row>
    <row r="117" ht="30" customHeight="1">
      <c r="A117" s="227" t="n"/>
      <c r="B117" s="230" t="n"/>
      <c r="C117" s="227" t="n"/>
      <c r="D117" s="227" t="n"/>
      <c r="E117" s="227" t="n"/>
      <c r="F117" s="227" t="n"/>
    </row>
    <row r="118" ht="30" customHeight="1">
      <c r="A118" s="227" t="n"/>
      <c r="B118" s="230" t="n"/>
      <c r="C118" s="227" t="n"/>
      <c r="D118" s="227" t="n"/>
      <c r="E118" s="227" t="n"/>
      <c r="F118" s="227" t="n"/>
    </row>
    <row r="119" ht="30" customHeight="1">
      <c r="A119" s="227" t="n"/>
      <c r="B119" s="230" t="n"/>
      <c r="C119" s="227" t="n"/>
      <c r="D119" s="227" t="n"/>
      <c r="E119" s="227" t="n"/>
      <c r="F119" s="227" t="n"/>
    </row>
    <row r="120">
      <c r="A120" s="232" t="n"/>
      <c r="B120" s="232" t="n"/>
      <c r="C120" s="232" t="n"/>
      <c r="D120" s="232" t="n"/>
      <c r="E120" s="232" t="n"/>
      <c r="F120" s="232" t="n"/>
    </row>
    <row r="121">
      <c r="A121" s="232" t="n"/>
      <c r="B121" s="232" t="n"/>
      <c r="C121" s="232" t="n"/>
      <c r="D121" s="232" t="n"/>
      <c r="E121" s="232" t="n"/>
      <c r="F121" s="232" t="n"/>
    </row>
    <row r="122">
      <c r="A122" s="232" t="n"/>
      <c r="B122" s="232" t="n"/>
      <c r="C122" s="232" t="n"/>
      <c r="D122" s="232" t="n"/>
      <c r="E122" s="232" t="n"/>
      <c r="F122" s="232" t="n"/>
    </row>
    <row r="123">
      <c r="A123" s="232" t="n"/>
      <c r="B123" s="232" t="n"/>
      <c r="C123" s="232" t="n"/>
      <c r="D123" s="232" t="n"/>
      <c r="E123" s="232" t="n"/>
      <c r="F123" s="232" t="n"/>
    </row>
    <row r="124">
      <c r="A124" s="232" t="n"/>
      <c r="B124" s="232" t="n"/>
      <c r="C124" s="232" t="n"/>
      <c r="D124" s="232" t="n"/>
      <c r="E124" s="232" t="n"/>
      <c r="F124" s="232" t="n"/>
    </row>
    <row r="125">
      <c r="A125" s="232" t="n"/>
      <c r="B125" s="232" t="n"/>
      <c r="C125" s="232" t="n"/>
      <c r="D125" s="232" t="n"/>
      <c r="E125" s="232" t="n"/>
      <c r="F125" s="232" t="n"/>
    </row>
    <row r="126">
      <c r="A126" s="232" t="n"/>
      <c r="B126" s="232" t="n"/>
      <c r="C126" s="232" t="n"/>
      <c r="D126" s="232" t="n"/>
      <c r="E126" s="232" t="n"/>
      <c r="F126" s="232" t="n"/>
    </row>
    <row r="127">
      <c r="A127" s="232" t="n"/>
      <c r="B127" s="232" t="n"/>
      <c r="C127" s="232" t="n"/>
      <c r="D127" s="232" t="n"/>
      <c r="E127" s="232" t="n"/>
      <c r="F127" s="232" t="n"/>
    </row>
    <row r="128">
      <c r="A128" s="232" t="n"/>
      <c r="B128" s="232" t="n"/>
      <c r="C128" s="232" t="n"/>
      <c r="D128" s="232" t="n"/>
      <c r="E128" s="232" t="n"/>
      <c r="F128" s="232" t="n"/>
    </row>
    <row r="129">
      <c r="A129" s="232" t="n"/>
      <c r="B129" s="232" t="n"/>
      <c r="C129" s="232" t="n"/>
      <c r="D129" s="232" t="n"/>
      <c r="E129" s="232" t="n"/>
      <c r="F129" s="232" t="n"/>
    </row>
    <row r="130">
      <c r="A130" s="232" t="n"/>
      <c r="B130" s="232" t="n"/>
      <c r="C130" s="232" t="n"/>
      <c r="D130" s="232" t="n"/>
      <c r="E130" s="232" t="n"/>
      <c r="F130" s="232" t="n"/>
    </row>
    <row r="131">
      <c r="A131" s="232" t="n"/>
      <c r="B131" s="232" t="n"/>
      <c r="C131" s="232" t="n"/>
      <c r="D131" s="232" t="n"/>
      <c r="E131" s="232" t="n"/>
      <c r="F131" s="232" t="n"/>
    </row>
    <row r="132">
      <c r="A132" s="232" t="n"/>
      <c r="B132" s="232" t="n"/>
      <c r="C132" s="232" t="n"/>
      <c r="D132" s="232" t="n"/>
      <c r="E132" s="232" t="n"/>
      <c r="F132" s="232" t="n"/>
    </row>
    <row r="133">
      <c r="A133" s="232" t="n"/>
      <c r="B133" s="232" t="n"/>
      <c r="C133" s="232" t="n"/>
      <c r="D133" s="232" t="n"/>
      <c r="E133" s="232" t="n"/>
      <c r="F133" s="232" t="n"/>
    </row>
    <row r="134">
      <c r="A134" s="232" t="n"/>
      <c r="B134" s="232" t="n"/>
      <c r="C134" s="232" t="n"/>
      <c r="D134" s="232" t="n"/>
      <c r="E134" s="232" t="n"/>
      <c r="F134" s="232" t="n"/>
    </row>
    <row r="135">
      <c r="A135" s="232" t="n"/>
      <c r="B135" s="232" t="n"/>
      <c r="C135" s="232" t="n"/>
      <c r="D135" s="232" t="n"/>
      <c r="E135" s="232" t="n"/>
      <c r="F135" s="232" t="n"/>
    </row>
    <row r="136">
      <c r="A136" s="232" t="n"/>
      <c r="B136" s="232" t="n"/>
      <c r="C136" s="232" t="n"/>
      <c r="D136" s="232" t="n"/>
      <c r="E136" s="232" t="n"/>
      <c r="F136" s="232" t="n"/>
    </row>
    <row r="137">
      <c r="A137" s="232" t="n"/>
      <c r="B137" s="232" t="n"/>
      <c r="C137" s="232" t="n"/>
      <c r="D137" s="232" t="n"/>
      <c r="E137" s="232" t="n"/>
      <c r="F137" s="232" t="n"/>
    </row>
    <row r="138">
      <c r="A138" s="232" t="n"/>
      <c r="B138" s="232" t="n"/>
      <c r="C138" s="232" t="n"/>
      <c r="D138" s="232" t="n"/>
      <c r="E138" s="232" t="n"/>
      <c r="F138" s="232" t="n"/>
    </row>
    <row r="139">
      <c r="A139" s="232" t="n"/>
      <c r="B139" s="232" t="n"/>
      <c r="C139" s="232" t="n"/>
      <c r="D139" s="232" t="n"/>
      <c r="E139" s="232" t="n"/>
      <c r="F139" s="232" t="n"/>
    </row>
    <row r="140">
      <c r="A140" s="232" t="n"/>
      <c r="B140" s="232" t="n"/>
      <c r="C140" s="232" t="n"/>
      <c r="D140" s="232" t="n"/>
      <c r="E140" s="232" t="n"/>
      <c r="F140" s="232" t="n"/>
    </row>
    <row r="141">
      <c r="A141" s="232" t="n"/>
      <c r="B141" s="232" t="n"/>
      <c r="C141" s="232" t="n"/>
      <c r="D141" s="232" t="n"/>
      <c r="E141" s="232" t="n"/>
      <c r="F141" s="232" t="n"/>
    </row>
    <row r="142">
      <c r="A142" s="232" t="n"/>
      <c r="B142" s="232" t="n"/>
      <c r="C142" s="232" t="n"/>
      <c r="D142" s="232" t="n"/>
      <c r="E142" s="232" t="n"/>
      <c r="F142" s="232" t="n"/>
    </row>
    <row r="143">
      <c r="A143" s="232" t="n"/>
      <c r="B143" s="232" t="n"/>
      <c r="C143" s="232" t="n"/>
      <c r="D143" s="232" t="n"/>
      <c r="E143" s="232" t="n"/>
      <c r="F143" s="232" t="n"/>
    </row>
    <row r="144">
      <c r="A144" s="232" t="n"/>
      <c r="B144" s="232" t="n"/>
      <c r="C144" s="232" t="n"/>
      <c r="D144" s="232" t="n"/>
      <c r="E144" s="232" t="n"/>
      <c r="F144" s="232" t="n"/>
    </row>
    <row r="145">
      <c r="A145" s="232" t="n"/>
      <c r="B145" s="232" t="n"/>
      <c r="C145" s="232" t="n"/>
      <c r="D145" s="232" t="n"/>
      <c r="E145" s="232" t="n"/>
      <c r="F145" s="232" t="n"/>
    </row>
    <row r="146">
      <c r="A146" s="232" t="n"/>
      <c r="B146" s="232" t="n"/>
      <c r="C146" s="232" t="n"/>
      <c r="D146" s="232" t="n"/>
      <c r="E146" s="232" t="n"/>
      <c r="F146" s="232" t="n"/>
    </row>
    <row r="147">
      <c r="A147" s="232" t="n"/>
      <c r="B147" s="232" t="n"/>
      <c r="C147" s="232" t="n"/>
      <c r="D147" s="232" t="n"/>
      <c r="E147" s="232" t="n"/>
      <c r="F147" s="232" t="n"/>
    </row>
    <row r="148">
      <c r="A148" s="232" t="n"/>
      <c r="B148" s="232" t="n"/>
      <c r="C148" s="232" t="n"/>
      <c r="D148" s="232" t="n"/>
      <c r="E148" s="232" t="n"/>
      <c r="F148" s="232" t="n"/>
    </row>
    <row r="149">
      <c r="A149" s="232" t="n"/>
      <c r="B149" s="232" t="n"/>
      <c r="C149" s="232" t="n"/>
      <c r="D149" s="232" t="n"/>
      <c r="E149" s="232" t="n"/>
      <c r="F149" s="232" t="n"/>
    </row>
    <row r="150">
      <c r="A150" s="232" t="n"/>
      <c r="B150" s="232" t="n"/>
      <c r="C150" s="232" t="n"/>
      <c r="D150" s="232" t="n"/>
      <c r="E150" s="232" t="n"/>
      <c r="F150" s="232" t="n"/>
    </row>
    <row r="151">
      <c r="A151" s="232" t="n"/>
      <c r="B151" s="232" t="n"/>
      <c r="C151" s="232" t="n"/>
      <c r="D151" s="232" t="n"/>
      <c r="E151" s="232" t="n"/>
      <c r="F151" s="232" t="n"/>
    </row>
    <row r="152">
      <c r="A152" s="232" t="n"/>
      <c r="B152" s="232" t="n"/>
      <c r="C152" s="232" t="n"/>
      <c r="D152" s="232" t="n"/>
      <c r="E152" s="232" t="n"/>
      <c r="F152" s="232" t="n"/>
    </row>
    <row r="153">
      <c r="A153" s="232" t="n"/>
      <c r="B153" s="232" t="n"/>
      <c r="C153" s="232" t="n"/>
      <c r="D153" s="232" t="n"/>
      <c r="E153" s="232" t="n"/>
      <c r="F153" s="232" t="n"/>
    </row>
    <row r="154">
      <c r="A154" s="232" t="n"/>
      <c r="B154" s="232" t="n"/>
      <c r="C154" s="232" t="n"/>
      <c r="D154" s="232" t="n"/>
      <c r="E154" s="232" t="n"/>
      <c r="F154" s="232" t="n"/>
    </row>
    <row r="155">
      <c r="A155" s="232" t="n"/>
      <c r="B155" s="232" t="n"/>
      <c r="C155" s="232" t="n"/>
      <c r="D155" s="232" t="n"/>
      <c r="E155" s="232" t="n"/>
      <c r="F155" s="232" t="n"/>
    </row>
    <row r="156">
      <c r="A156" s="232" t="n"/>
      <c r="B156" s="232" t="n"/>
      <c r="C156" s="232" t="n"/>
      <c r="D156" s="232" t="n"/>
      <c r="E156" s="232" t="n"/>
      <c r="F156" s="232" t="n"/>
    </row>
    <row r="157">
      <c r="A157" s="232" t="n"/>
      <c r="B157" s="232" t="n"/>
      <c r="C157" s="232" t="n"/>
      <c r="D157" s="232" t="n"/>
      <c r="E157" s="232" t="n"/>
      <c r="F157" s="232" t="n"/>
    </row>
    <row r="158">
      <c r="A158" s="232" t="n"/>
      <c r="B158" s="232" t="n"/>
      <c r="C158" s="232" t="n"/>
      <c r="D158" s="232" t="n"/>
      <c r="E158" s="232" t="n"/>
      <c r="F158" s="232" t="n"/>
    </row>
    <row r="159">
      <c r="A159" s="232" t="n"/>
      <c r="B159" s="232" t="n"/>
      <c r="C159" s="232" t="n"/>
      <c r="D159" s="232" t="n"/>
      <c r="E159" s="232" t="n"/>
      <c r="F159" s="232" t="n"/>
    </row>
    <row r="160">
      <c r="A160" s="232" t="n"/>
      <c r="B160" s="232" t="n"/>
      <c r="C160" s="232" t="n"/>
      <c r="D160" s="232" t="n"/>
      <c r="E160" s="232" t="n"/>
      <c r="F160" s="232" t="n"/>
    </row>
    <row r="161">
      <c r="A161" s="232" t="n"/>
      <c r="B161" s="232" t="n"/>
      <c r="C161" s="232" t="n"/>
      <c r="D161" s="232" t="n"/>
      <c r="E161" s="232" t="n"/>
      <c r="F161" s="232" t="n"/>
    </row>
    <row r="162">
      <c r="A162" s="232" t="n"/>
      <c r="B162" s="232" t="n"/>
      <c r="C162" s="232" t="n"/>
      <c r="D162" s="232" t="n"/>
      <c r="E162" s="232" t="n"/>
      <c r="F162" s="232" t="n"/>
    </row>
    <row r="163">
      <c r="A163" s="232" t="n"/>
      <c r="B163" s="232" t="n"/>
      <c r="C163" s="232" t="n"/>
      <c r="D163" s="232" t="n"/>
      <c r="E163" s="232" t="n"/>
      <c r="F163" s="232" t="n"/>
    </row>
    <row r="164">
      <c r="A164" s="232" t="n"/>
      <c r="B164" s="232" t="n"/>
      <c r="C164" s="232" t="n"/>
      <c r="D164" s="232" t="n"/>
      <c r="E164" s="232" t="n"/>
      <c r="F164" s="232" t="n"/>
    </row>
    <row r="165">
      <c r="A165" s="232" t="n"/>
      <c r="B165" s="232" t="n"/>
      <c r="C165" s="232" t="n"/>
      <c r="D165" s="232" t="n"/>
      <c r="E165" s="232" t="n"/>
      <c r="F165" s="232" t="n"/>
    </row>
    <row r="166">
      <c r="A166" s="232" t="n"/>
      <c r="B166" s="232" t="n"/>
      <c r="C166" s="232" t="n"/>
      <c r="D166" s="232" t="n"/>
      <c r="E166" s="232" t="n"/>
      <c r="F166" s="232" t="n"/>
    </row>
    <row r="167">
      <c r="A167" s="232" t="n"/>
      <c r="B167" s="232" t="n"/>
      <c r="C167" s="232" t="n"/>
      <c r="D167" s="232" t="n"/>
      <c r="E167" s="232" t="n"/>
      <c r="F167" s="232" t="n"/>
    </row>
    <row r="168">
      <c r="A168" s="232" t="n"/>
      <c r="B168" s="232" t="n"/>
      <c r="C168" s="232" t="n"/>
      <c r="D168" s="232" t="n"/>
      <c r="E168" s="232" t="n"/>
      <c r="F168" s="232" t="n"/>
    </row>
    <row r="169">
      <c r="A169" s="232" t="n"/>
      <c r="B169" s="232" t="n"/>
      <c r="C169" s="232" t="n"/>
      <c r="D169" s="232" t="n"/>
      <c r="E169" s="232" t="n"/>
      <c r="F169" s="232" t="n"/>
    </row>
    <row r="170">
      <c r="A170" s="232" t="n"/>
      <c r="B170" s="232" t="n"/>
      <c r="C170" s="232" t="n"/>
      <c r="D170" s="232" t="n"/>
      <c r="E170" s="232" t="n"/>
      <c r="F170" s="232" t="n"/>
    </row>
    <row r="171">
      <c r="A171" s="232" t="n"/>
      <c r="B171" s="232" t="n"/>
      <c r="C171" s="232" t="n"/>
      <c r="D171" s="232" t="n"/>
      <c r="E171" s="232" t="n"/>
      <c r="F171" s="232" t="n"/>
    </row>
    <row r="172">
      <c r="A172" s="232" t="n"/>
      <c r="B172" s="232" t="n"/>
      <c r="C172" s="232" t="n"/>
      <c r="D172" s="232" t="n"/>
      <c r="E172" s="232" t="n"/>
      <c r="F172" s="232" t="n"/>
    </row>
    <row r="173">
      <c r="A173" s="232" t="n"/>
      <c r="B173" s="232" t="n"/>
      <c r="C173" s="232" t="n"/>
      <c r="D173" s="232" t="n"/>
      <c r="E173" s="232" t="n"/>
      <c r="F173" s="232" t="n"/>
    </row>
    <row r="174">
      <c r="A174" s="232" t="n"/>
      <c r="B174" s="232" t="n"/>
      <c r="C174" s="232" t="n"/>
      <c r="D174" s="232" t="n"/>
      <c r="E174" s="232" t="n"/>
      <c r="F174" s="232" t="n"/>
    </row>
    <row r="175">
      <c r="A175" s="232" t="n"/>
      <c r="B175" s="232" t="n"/>
      <c r="C175" s="232" t="n"/>
      <c r="D175" s="232" t="n"/>
      <c r="E175" s="232" t="n"/>
      <c r="F175" s="232" t="n"/>
    </row>
    <row r="176">
      <c r="A176" s="232" t="n"/>
      <c r="B176" s="232" t="n"/>
      <c r="C176" s="232" t="n"/>
      <c r="D176" s="232" t="n"/>
      <c r="E176" s="232" t="n"/>
      <c r="F176" s="232" t="n"/>
    </row>
    <row r="177">
      <c r="A177" s="232" t="n"/>
      <c r="B177" s="232" t="n"/>
      <c r="C177" s="232" t="n"/>
      <c r="D177" s="232" t="n"/>
      <c r="E177" s="232" t="n"/>
      <c r="F177" s="232" t="n"/>
    </row>
    <row r="178">
      <c r="A178" s="232" t="n"/>
      <c r="B178" s="232" t="n"/>
      <c r="C178" s="232" t="n"/>
      <c r="D178" s="232" t="n"/>
      <c r="E178" s="232" t="n"/>
      <c r="F178" s="232" t="n"/>
    </row>
    <row r="179">
      <c r="A179" s="232" t="n"/>
      <c r="B179" s="232" t="n"/>
      <c r="C179" s="232" t="n"/>
      <c r="D179" s="232" t="n"/>
      <c r="E179" s="232" t="n"/>
      <c r="F179" s="232" t="n"/>
    </row>
    <row r="180">
      <c r="A180" s="232" t="n"/>
      <c r="B180" s="232" t="n"/>
      <c r="C180" s="232" t="n"/>
      <c r="D180" s="232" t="n"/>
      <c r="E180" s="232" t="n"/>
      <c r="F180" s="232" t="n"/>
    </row>
    <row r="181">
      <c r="A181" s="232" t="n"/>
      <c r="B181" s="232" t="n"/>
      <c r="C181" s="232" t="n"/>
      <c r="D181" s="232" t="n"/>
      <c r="E181" s="232" t="n"/>
      <c r="F181" s="232" t="n"/>
    </row>
    <row r="182">
      <c r="A182" s="232" t="n"/>
      <c r="B182" s="232" t="n"/>
      <c r="C182" s="232" t="n"/>
      <c r="D182" s="232" t="n"/>
      <c r="E182" s="232" t="n"/>
      <c r="F182" s="232" t="n"/>
    </row>
    <row r="183">
      <c r="A183" s="232" t="n"/>
      <c r="B183" s="232" t="n"/>
      <c r="C183" s="232" t="n"/>
      <c r="D183" s="232" t="n"/>
      <c r="E183" s="232" t="n"/>
      <c r="F183" s="232" t="n"/>
    </row>
    <row r="184">
      <c r="A184" s="232" t="n"/>
      <c r="B184" s="232" t="n"/>
      <c r="C184" s="232" t="n"/>
      <c r="D184" s="232" t="n"/>
      <c r="E184" s="232" t="n"/>
      <c r="F184" s="232" t="n"/>
    </row>
    <row r="185">
      <c r="A185" s="232" t="n"/>
      <c r="B185" s="232" t="n"/>
      <c r="C185" s="232" t="n"/>
      <c r="D185" s="232" t="n"/>
      <c r="E185" s="232" t="n"/>
      <c r="F185" s="232" t="n"/>
    </row>
    <row r="186">
      <c r="A186" s="232" t="n"/>
      <c r="B186" s="232" t="n"/>
      <c r="C186" s="232" t="n"/>
      <c r="D186" s="232" t="n"/>
      <c r="E186" s="232" t="n"/>
      <c r="F186" s="232" t="n"/>
    </row>
    <row r="187">
      <c r="A187" s="232" t="n"/>
      <c r="B187" s="232" t="n"/>
      <c r="C187" s="232" t="n"/>
      <c r="D187" s="232" t="n"/>
      <c r="E187" s="232" t="n"/>
      <c r="F187" s="232" t="n"/>
    </row>
    <row r="188">
      <c r="A188" s="232" t="n"/>
      <c r="B188" s="232" t="n"/>
      <c r="C188" s="232" t="n"/>
      <c r="D188" s="232" t="n"/>
      <c r="E188" s="232" t="n"/>
      <c r="F188" s="232" t="n"/>
    </row>
    <row r="189">
      <c r="A189" s="232" t="n"/>
      <c r="B189" s="232" t="n"/>
      <c r="C189" s="232" t="n"/>
      <c r="D189" s="232" t="n"/>
      <c r="E189" s="232" t="n"/>
      <c r="F189" s="232" t="n"/>
    </row>
    <row r="190">
      <c r="A190" s="232" t="n"/>
      <c r="B190" s="232" t="n"/>
      <c r="C190" s="232" t="n"/>
      <c r="D190" s="232" t="n"/>
      <c r="E190" s="232" t="n"/>
      <c r="F190" s="232" t="n"/>
    </row>
    <row r="191">
      <c r="A191" s="232" t="n"/>
      <c r="B191" s="232" t="n"/>
      <c r="C191" s="232" t="n"/>
      <c r="D191" s="232" t="n"/>
      <c r="E191" s="232" t="n"/>
      <c r="F191" s="232" t="n"/>
    </row>
    <row r="192">
      <c r="A192" s="232" t="n"/>
      <c r="B192" s="232" t="n"/>
      <c r="C192" s="232" t="n"/>
      <c r="D192" s="232" t="n"/>
      <c r="E192" s="232" t="n"/>
      <c r="F192" s="232" t="n"/>
    </row>
    <row r="193">
      <c r="A193" s="232" t="n"/>
      <c r="B193" s="232" t="n"/>
      <c r="C193" s="232" t="n"/>
      <c r="D193" s="232" t="n"/>
      <c r="E193" s="232" t="n"/>
      <c r="F193" s="232" t="n"/>
    </row>
    <row r="194">
      <c r="A194" s="232" t="n"/>
      <c r="B194" s="232" t="n"/>
      <c r="C194" s="232" t="n"/>
      <c r="D194" s="232" t="n"/>
      <c r="E194" s="232" t="n"/>
      <c r="F194" s="232" t="n"/>
    </row>
    <row r="195">
      <c r="A195" s="232" t="n"/>
      <c r="B195" s="232" t="n"/>
      <c r="C195" s="232" t="n"/>
      <c r="D195" s="232" t="n"/>
      <c r="E195" s="232" t="n"/>
      <c r="F195" s="232" t="n"/>
    </row>
    <row r="196">
      <c r="A196" s="232" t="n"/>
      <c r="B196" s="232" t="n"/>
      <c r="C196" s="232" t="n"/>
      <c r="D196" s="232" t="n"/>
      <c r="E196" s="232" t="n"/>
      <c r="F196" s="232" t="n"/>
    </row>
    <row r="197">
      <c r="A197" s="232" t="n"/>
      <c r="B197" s="232" t="n"/>
      <c r="C197" s="232" t="n"/>
      <c r="D197" s="232" t="n"/>
      <c r="E197" s="232" t="n"/>
      <c r="F197" s="232" t="n"/>
    </row>
    <row r="198">
      <c r="A198" s="232" t="n"/>
      <c r="B198" s="232" t="n"/>
      <c r="C198" s="232" t="n"/>
      <c r="D198" s="232" t="n"/>
      <c r="E198" s="232" t="n"/>
      <c r="F198" s="232" t="n"/>
    </row>
    <row r="199">
      <c r="A199" s="232" t="n"/>
      <c r="B199" s="232" t="n"/>
      <c r="C199" s="232" t="n"/>
      <c r="D199" s="232" t="n"/>
      <c r="E199" s="232" t="n"/>
      <c r="F199" s="232" t="n"/>
    </row>
    <row r="200">
      <c r="A200" s="232" t="n"/>
      <c r="B200" s="232" t="n"/>
      <c r="C200" s="232" t="n"/>
      <c r="D200" s="232" t="n"/>
      <c r="E200" s="232" t="n"/>
      <c r="F200" s="2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4">
    <mergeCell ref="A2:G2"/>
    <mergeCell ref="A5:F5"/>
    <mergeCell ref="A1:G1"/>
    <mergeCell ref="A4:F4"/>
  </mergeCells>
  <dataValidations count="3">
    <dataValidation sqref="C15:C119" showDropDown="0" showInputMessage="0" showErrorMessage="1" allowBlank="1" errorTitle="輸入值不合法" error="請從下拉清單選擇有效的「違規項目」" type="list">
      <formula1>=違規項目清單</formula1>
    </dataValidation>
    <dataValidation sqref="E15:E119" showDropDown="0" showInputMessage="0" showErrorMessage="1" allowBlank="1" errorTitle="輸入值不合法" error="請從下拉清單選擇有效的「取締員警」" type="list">
      <formula1>=員警姓名清單</formula1>
    </dataValidation>
    <dataValidation sqref="B15:B119" showDropDown="0" showInputMessage="1" showErrorMessage="1" allowBlank="1" errorTitle="日期格式錯誤" error="「取締日期」必須是有效日期&#10;✓ 範例：2026/05/26 或 2026/05/26 14:00&#10;✗ 不可輸入文字、2020 以前、2035 以後" promptTitle="取締日期 — 日期格式" prompt="請輸入有效日期（顯示精度到「時」）&#10;範例：2026/05/26（無時間）&#10;或：2026/05/26 14:00（含小時，分鐘會被隱藏）" type="date" operator="between">
      <formula1>DATE(2020,1,1)</formula1>
      <formula2>DATE(2035,12,31)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9"/>
  <sheetViews>
    <sheetView tabSelected="0" topLeftCell="A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8" customWidth="1" min="5" max="5"/>
    <col width="14" customWidth="1" min="6" max="6"/>
    <col width="22" customWidth="1" min="7" max="7"/>
    <col width="16" customWidth="1" min="8" max="8"/>
  </cols>
  <sheetData>
    <row r="1" ht="52" customHeight="1">
      <c r="A1" s="27" t="inlineStr">
        <is>
          <t xml:space="preserve">   📈  績效統計（按案類 + 員警 Top 10）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"&amp;警察局名稱&amp;" · "&amp;分局名稱&amp;" · "&amp;派出所名稱&amp;" ｜ 中華民國 "&amp;(YEAR(今日)-1911)&amp;" 年累計（截至 "&amp;TEXT(今日,"mm/dd")&amp;"）｜ 資料源：Tbl案件（SSOT）"</f>
        <v/>
      </c>
    </row>
    <row r="3" ht="8" customHeight="1"/>
    <row r="4" ht="30" customHeight="1">
      <c r="A4" s="18" t="inlineStr">
        <is>
          <t xml:space="preserve">   💡  本頁公式全自動：頁 5 案件資料庫每新增 1 件 → 案類聚合 + 員警 Top 10 即時更新。員警名冊請去設定表 B 區維護（最多 60 名）。</t>
        </is>
      </c>
      <c r="B4" s="7" t="n"/>
      <c r="C4" s="7" t="n"/>
      <c r="D4" s="7" t="n"/>
      <c r="E4" s="7" t="n"/>
      <c r="F4" s="7" t="n"/>
      <c r="G4" s="7" t="n"/>
      <c r="H4" s="8" t="n"/>
    </row>
    <row r="5" ht="8" customHeight="1"/>
    <row r="6" ht="34" customHeight="1">
      <c r="A6" s="39" t="inlineStr">
        <is>
          <t xml:space="preserve">   📊  上半：按案類績效統計（5 大案類）</t>
        </is>
      </c>
    </row>
    <row r="7" ht="6" customHeight="1"/>
    <row r="8" ht="34" customHeight="1">
      <c r="A8" s="10" t="inlineStr">
        <is>
          <t>案類</t>
        </is>
      </c>
      <c r="B8" s="10" t="inlineStr">
        <is>
          <t>發生</t>
        </is>
      </c>
      <c r="C8" s="10" t="inlineStr">
        <is>
          <t>破獲</t>
        </is>
      </c>
      <c r="D8" s="10" t="inlineStr">
        <is>
          <t>破獲率</t>
        </is>
      </c>
      <c r="E8" s="10" t="inlineStr">
        <is>
          <t>排名</t>
        </is>
      </c>
      <c r="F8" s="10" t="inlineStr">
        <is>
          <t>本月變化（vs 上月）</t>
        </is>
      </c>
      <c r="G8" s="10" t="inlineStr">
        <is>
          <t>視覺</t>
        </is>
      </c>
      <c r="H8" s="10" t="inlineStr">
        <is>
          <t>—</t>
        </is>
      </c>
    </row>
    <row r="9" ht="30" customHeight="1">
      <c r="A9" s="13" t="inlineStr">
        <is>
          <t>竊盜</t>
        </is>
      </c>
      <c r="B9" s="141">
        <f>IFERROR(COUNTIFS(Tbl案件[案類分類],"竊盜",Tbl案件[發生管轄],"本轄",Tbl案件[歸屬年度],(YEAR(今日)-1911),Tbl案件[計入發生數],"是"),0)</f>
        <v/>
      </c>
      <c r="C9" s="141">
        <f>IFERROR(COUNTIFS(Tbl案件[案類分類],"竊盜",Tbl案件[查獲管轄],"本轄",Tbl案件[是否破獲],"是",Tbl案件[歸屬年度],(YEAR(今日)-1911)),0)</f>
        <v/>
      </c>
      <c r="D9" s="150">
        <f>IFERROR(C9/B9,0)</f>
        <v/>
      </c>
      <c r="E9" s="161">
        <f>IFERROR(RANK.AVG(D9,$D$9:$D$13,0),"—")</f>
        <v/>
      </c>
      <c r="F9" s="15">
        <f>IFERROR(IF(COUNTIFS(Tbl案件[案類分類],"竊盜",Tbl案件[發生管轄],"本轄",Tbl案件[發生時間],"&gt;="&amp;DATE(YEAR(今日),MONTH(今日),1),Tbl案件[發生時間],"&lt;"&amp;DATE(YEAR(今日),MONTH(今日)+1,1),Tbl案件[計入發生數],"是")&gt;COUNTIFS(Tbl案件[案類分類],"竊盜",Tbl案件[發生管轄],"本轄",Tbl案件[發生時間],"&gt;="&amp;DATE(YEAR(今日),MONTH(今日)-1,1),Tbl案件[發生時間],"&lt;"&amp;DATE(YEAR(今日),MONTH(今日),1),Tbl案件[計入發生數],"是"),"↑ "&amp;(COUNTIFS(Tbl案件[案類分類],"竊盜",Tbl案件[發生管轄],"本轄",Tbl案件[發生時間],"&gt;="&amp;DATE(YEAR(今日),MONTH(今日),1),Tbl案件[發生時間],"&lt;"&amp;DATE(YEAR(今日),MONTH(今日)+1,1),Tbl案件[計入發生數],"是")-COUNTIFS(Tbl案件[案類分類],"竊盜",Tbl案件[發生管轄],"本轄",Tbl案件[發生時間],"&gt;="&amp;DATE(YEAR(今日),MONTH(今日)-1,1),Tbl案件[發生時間],"&lt;"&amp;DATE(YEAR(今日),MONTH(今日),1),Tbl案件[計入發生數],"是"))&amp;" 件",IF(COUNTIFS(Tbl案件[案類分類],"竊盜",Tbl案件[發生管轄],"本轄",Tbl案件[發生時間],"&gt;="&amp;DATE(YEAR(今日),MONTH(今日),1),Tbl案件[發生時間],"&lt;"&amp;DATE(YEAR(今日),MONTH(今日)+1,1),Tbl案件[計入發生數],"是")&lt;COUNTIFS(Tbl案件[案類分類],"竊盜",Tbl案件[發生管轄],"本轄",Tbl案件[發生時間],"&gt;="&amp;DATE(YEAR(今日),MONTH(今日)-1,1),Tbl案件[發生時間],"&lt;"&amp;DATE(YEAR(今日),MONTH(今日),1),Tbl案件[計入發生數],"是"),"↓ "&amp;(COUNTIFS(Tbl案件[案類分類],"竊盜",Tbl案件[發生管轄],"本轄",Tbl案件[發生時間],"&gt;="&amp;DATE(YEAR(今日),MONTH(今日)-1,1),Tbl案件[發生時間],"&lt;"&amp;DATE(YEAR(今日),MONTH(今日),1),Tbl案件[計入發生數],"是")-COUNTIFS(Tbl案件[案類分類],"竊盜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9" s="151">
        <f>REPT("█",MIN(15,ROUND(D9*15,0)))</f>
        <v/>
      </c>
      <c r="H9" s="15">
        <f>IF(D9&gt;=1,"★ 滿分",IF(D9&gt;=0.85,"● 達標",""))</f>
        <v/>
      </c>
    </row>
    <row r="10" ht="30" customHeight="1">
      <c r="A10" s="13" t="inlineStr">
        <is>
          <t>詐欺</t>
        </is>
      </c>
      <c r="B10" s="141">
        <f>IFERROR(COUNTIFS(Tbl案件[案類分類],"詐欺",Tbl案件[發生管轄],"本轄",Tbl案件[歸屬年度],(YEAR(今日)-1911),Tbl案件[計入發生數],"是"),0)</f>
        <v/>
      </c>
      <c r="C10" s="141">
        <f>IFERROR(COUNTIFS(Tbl案件[案類分類],"詐欺",Tbl案件[查獲管轄],"本轄",Tbl案件[是否破獲],"是",Tbl案件[歸屬年度],(YEAR(今日)-1911)),0)</f>
        <v/>
      </c>
      <c r="D10" s="150">
        <f>IFERROR(C10/B10,0)</f>
        <v/>
      </c>
      <c r="E10" s="161">
        <f>IFERROR(RANK.AVG(D10,$D$9:$D$13,0),"—")</f>
        <v/>
      </c>
      <c r="F10" s="15">
        <f>IFERROR(IF(COUNTIFS(Tbl案件[案類分類],"詐欺",Tbl案件[發生管轄],"本轄",Tbl案件[發生時間],"&gt;="&amp;DATE(YEAR(今日),MONTH(今日),1),Tbl案件[發生時間],"&lt;"&amp;DATE(YEAR(今日),MONTH(今日)+1,1),Tbl案件[計入發生數],"是")&gt;COUNTIFS(Tbl案件[案類分類],"詐欺",Tbl案件[發生管轄],"本轄",Tbl案件[發生時間],"&gt;="&amp;DATE(YEAR(今日),MONTH(今日)-1,1),Tbl案件[發生時間],"&lt;"&amp;DATE(YEAR(今日),MONTH(今日),1),Tbl案件[計入發生數],"是"),"↑ "&amp;(COUNTIFS(Tbl案件[案類分類],"詐欺",Tbl案件[發生管轄],"本轄",Tbl案件[發生時間],"&gt;="&amp;DATE(YEAR(今日),MONTH(今日),1),Tbl案件[發生時間],"&lt;"&amp;DATE(YEAR(今日),MONTH(今日)+1,1),Tbl案件[計入發生數],"是")-COUNTIFS(Tbl案件[案類分類],"詐欺",Tbl案件[發生管轄],"本轄",Tbl案件[發生時間],"&gt;="&amp;DATE(YEAR(今日),MONTH(今日)-1,1),Tbl案件[發生時間],"&lt;"&amp;DATE(YEAR(今日),MONTH(今日),1),Tbl案件[計入發生數],"是"))&amp;" 件",IF(COUNTIFS(Tbl案件[案類分類],"詐欺",Tbl案件[發生管轄],"本轄",Tbl案件[發生時間],"&gt;="&amp;DATE(YEAR(今日),MONTH(今日),1),Tbl案件[發生時間],"&lt;"&amp;DATE(YEAR(今日),MONTH(今日)+1,1),Tbl案件[計入發生數],"是")&lt;COUNTIFS(Tbl案件[案類分類],"詐欺",Tbl案件[發生管轄],"本轄",Tbl案件[發生時間],"&gt;="&amp;DATE(YEAR(今日),MONTH(今日)-1,1),Tbl案件[發生時間],"&lt;"&amp;DATE(YEAR(今日),MONTH(今日),1),Tbl案件[計入發生數],"是"),"↓ "&amp;(COUNTIFS(Tbl案件[案類分類],"詐欺",Tbl案件[發生管轄],"本轄",Tbl案件[發生時間],"&gt;="&amp;DATE(YEAR(今日),MONTH(今日)-1,1),Tbl案件[發生時間],"&lt;"&amp;DATE(YEAR(今日),MONTH(今日),1),Tbl案件[計入發生數],"是")-COUNTIFS(Tbl案件[案類分類],"詐欺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0" s="151">
        <f>REPT("█",MIN(15,ROUND(D10*15,0)))</f>
        <v/>
      </c>
      <c r="H10" s="15">
        <f>IF(D10&gt;=1,"★ 滿分",IF(D10&gt;=0.85,"● 達標",""))</f>
        <v/>
      </c>
    </row>
    <row r="11" ht="30" customHeight="1">
      <c r="A11" s="13" t="inlineStr">
        <is>
          <t>毒品</t>
        </is>
      </c>
      <c r="B11" s="141">
        <f>IFERROR(COUNTIFS(Tbl案件[案類分類],"毒品",Tbl案件[發生管轄],"本轄",Tbl案件[歸屬年度],(YEAR(今日)-1911),Tbl案件[計入發生數],"是"),0)</f>
        <v/>
      </c>
      <c r="C11" s="141">
        <f>IFERROR(COUNTIFS(Tbl案件[案類分類],"毒品",Tbl案件[查獲管轄],"本轄",Tbl案件[是否破獲],"是",Tbl案件[歸屬年度],(YEAR(今日)-1911)),0)</f>
        <v/>
      </c>
      <c r="D11" s="150">
        <f>IFERROR(C11/B11,0)</f>
        <v/>
      </c>
      <c r="E11" s="161">
        <f>IFERROR(RANK.AVG(D11,$D$9:$D$13,0),"—")</f>
        <v/>
      </c>
      <c r="F11" s="15">
        <f>IFERROR(IF(COUNTIFS(Tbl案件[案類分類],"毒品",Tbl案件[發生管轄],"本轄",Tbl案件[發生時間],"&gt;="&amp;DATE(YEAR(今日),MONTH(今日),1),Tbl案件[發生時間],"&lt;"&amp;DATE(YEAR(今日),MONTH(今日)+1,1),Tbl案件[計入發生數],"是")&gt;COUNTIFS(Tbl案件[案類分類],"毒品",Tbl案件[發生管轄],"本轄",Tbl案件[發生時間],"&gt;="&amp;DATE(YEAR(今日),MONTH(今日)-1,1),Tbl案件[發生時間],"&lt;"&amp;DATE(YEAR(今日),MONTH(今日),1),Tbl案件[計入發生數],"是"),"↑ "&amp;(COUNTIFS(Tbl案件[案類分類],"毒品",Tbl案件[發生管轄],"本轄",Tbl案件[發生時間],"&gt;="&amp;DATE(YEAR(今日),MONTH(今日),1),Tbl案件[發生時間],"&lt;"&amp;DATE(YEAR(今日),MONTH(今日)+1,1),Tbl案件[計入發生數],"是")-COUNTIFS(Tbl案件[案類分類],"毒品",Tbl案件[發生管轄],"本轄",Tbl案件[發生時間],"&gt;="&amp;DATE(YEAR(今日),MONTH(今日)-1,1),Tbl案件[發生時間],"&lt;"&amp;DATE(YEAR(今日),MONTH(今日),1),Tbl案件[計入發生數],"是"))&amp;" 件",IF(COUNTIFS(Tbl案件[案類分類],"毒品",Tbl案件[發生管轄],"本轄",Tbl案件[發生時間],"&gt;="&amp;DATE(YEAR(今日),MONTH(今日),1),Tbl案件[發生時間],"&lt;"&amp;DATE(YEAR(今日),MONTH(今日)+1,1),Tbl案件[計入發生數],"是")&lt;COUNTIFS(Tbl案件[案類分類],"毒品",Tbl案件[發生管轄],"本轄",Tbl案件[發生時間],"&gt;="&amp;DATE(YEAR(今日),MONTH(今日)-1,1),Tbl案件[發生時間],"&lt;"&amp;DATE(YEAR(今日),MONTH(今日),1),Tbl案件[計入發生數],"是"),"↓ "&amp;(COUNTIFS(Tbl案件[案類分類],"毒品",Tbl案件[發生管轄],"本轄",Tbl案件[發生時間],"&gt;="&amp;DATE(YEAR(今日),MONTH(今日)-1,1),Tbl案件[發生時間],"&lt;"&amp;DATE(YEAR(今日),MONTH(今日),1),Tbl案件[計入發生數],"是")-COUNTIFS(Tbl案件[案類分類],"毒品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1" s="151">
        <f>REPT("█",MIN(15,ROUND(D11*15,0)))</f>
        <v/>
      </c>
      <c r="H11" s="15">
        <f>IF(D11&gt;=1,"★ 滿分",IF(D11&gt;=0.85,"● 達標",""))</f>
        <v/>
      </c>
    </row>
    <row r="12" ht="30" customHeight="1">
      <c r="A12" s="13" t="inlineStr">
        <is>
          <t>暴力犯罪</t>
        </is>
      </c>
      <c r="B12" s="141">
        <f>IFERROR(COUNTIFS(Tbl案件[案類分類],"暴力犯罪",Tbl案件[發生管轄],"本轄",Tbl案件[歸屬年度],(YEAR(今日)-1911),Tbl案件[計入發生數],"是"),0)</f>
        <v/>
      </c>
      <c r="C12" s="141">
        <f>IFERROR(COUNTIFS(Tbl案件[案類分類],"暴力犯罪",Tbl案件[查獲管轄],"本轄",Tbl案件[是否破獲],"是",Tbl案件[歸屬年度],(YEAR(今日)-1911)),0)</f>
        <v/>
      </c>
      <c r="D12" s="150">
        <f>IFERROR(C12/B12,0)</f>
        <v/>
      </c>
      <c r="E12" s="161">
        <f>IFERROR(RANK.AVG(D12,$D$9:$D$13,0),"—")</f>
        <v/>
      </c>
      <c r="F12" s="15">
        <f>IFERROR(IF(COUNTIFS(Tbl案件[案類分類],"暴力犯罪",Tbl案件[發生管轄],"本轄",Tbl案件[發生時間],"&gt;="&amp;DATE(YEAR(今日),MONTH(今日),1),Tbl案件[發生時間],"&lt;"&amp;DATE(YEAR(今日),MONTH(今日)+1,1),Tbl案件[計入發生數],"是")&gt;COUNTIFS(Tbl案件[案類分類],"暴力犯罪",Tbl案件[發生管轄],"本轄",Tbl案件[發生時間],"&gt;="&amp;DATE(YEAR(今日),MONTH(今日)-1,1),Tbl案件[發生時間],"&lt;"&amp;DATE(YEAR(今日),MONTH(今日),1),Tbl案件[計入發生數],"是"),"↑ "&amp;(COUNTIFS(Tbl案件[案類分類],"暴力犯罪",Tbl案件[發生管轄],"本轄",Tbl案件[發生時間],"&gt;="&amp;DATE(YEAR(今日),MONTH(今日),1),Tbl案件[發生時間],"&lt;"&amp;DATE(YEAR(今日),MONTH(今日)+1,1),Tbl案件[計入發生數],"是")-COUNTIFS(Tbl案件[案類分類],"暴力犯罪",Tbl案件[發生管轄],"本轄",Tbl案件[發生時間],"&gt;="&amp;DATE(YEAR(今日),MONTH(今日)-1,1),Tbl案件[發生時間],"&lt;"&amp;DATE(YEAR(今日),MONTH(今日),1),Tbl案件[計入發生數],"是"))&amp;" 件",IF(COUNTIFS(Tbl案件[案類分類],"暴力犯罪",Tbl案件[發生管轄],"本轄",Tbl案件[發生時間],"&gt;="&amp;DATE(YEAR(今日),MONTH(今日),1),Tbl案件[發生時間],"&lt;"&amp;DATE(YEAR(今日),MONTH(今日)+1,1),Tbl案件[計入發生數],"是")&lt;COUNTIFS(Tbl案件[案類分類],"暴力犯罪",Tbl案件[發生管轄],"本轄",Tbl案件[發生時間],"&gt;="&amp;DATE(YEAR(今日),MONTH(今日)-1,1),Tbl案件[發生時間],"&lt;"&amp;DATE(YEAR(今日),MONTH(今日),1),Tbl案件[計入發生數],"是"),"↓ "&amp;(COUNTIFS(Tbl案件[案類分類],"暴力犯罪",Tbl案件[發生管轄],"本轄",Tbl案件[發生時間],"&gt;="&amp;DATE(YEAR(今日),MONTH(今日)-1,1),Tbl案件[發生時間],"&lt;"&amp;DATE(YEAR(今日),MONTH(今日),1),Tbl案件[計入發生數],"是")-COUNTIFS(Tbl案件[案類分類],"暴力犯罪",Tbl案件[發生管轄],"本轄",Tbl案件[發生時間],"&gt;="&amp;DATE(YEAR(今日),MONTH(今日),1),Tbl案件[發生時間],"&lt;"&amp;DATE(YEAR(今日),MONTH(今日)+1,1),Tbl案件[計入發生數],"是"))&amp;" 件","→ 持平")),"—")</f>
        <v/>
      </c>
      <c r="G12" s="151">
        <f>REPT("█",MIN(15,ROUND(D12*15,0)))</f>
        <v/>
      </c>
      <c r="H12" s="15">
        <f>IF(D12&gt;=1,"★ 滿分",IF(D12&gt;=0.85,"● 達標",""))</f>
        <v/>
      </c>
    </row>
    <row r="13" ht="30" customHeight="1">
      <c r="A13" s="13" t="inlineStr">
        <is>
          <t>其他</t>
        </is>
      </c>
      <c r="B13" s="141">
        <f>MAX(0,IFERROR(COUNTIFS(Tbl案件[發生管轄],"本轄",Tbl案件[歸屬年度],(YEAR(今日)-1911),Tbl案件[計入發生數],"是"),0)-SUM(B9:B12))</f>
        <v/>
      </c>
      <c r="C13" s="141">
        <f>MAX(0,IFERROR(COUNTIFS(Tbl案件[查獲管轄],"本轄",Tbl案件[是否破獲],"是",Tbl案件[歸屬年度],(YEAR(今日)-1911)),0)-SUM(C9:C12))</f>
        <v/>
      </c>
      <c r="D13" s="150">
        <f>IFERROR(C13/B13,0)</f>
        <v/>
      </c>
      <c r="E13" s="161">
        <f>IFERROR(RANK.AVG(D13,$D$9:$D$13,0),"—")</f>
        <v/>
      </c>
      <c r="F13" s="162" t="inlineStr">
        <is>
          <t>—</t>
        </is>
      </c>
      <c r="G13" s="151">
        <f>REPT("█",MIN(15,ROUND(D13*15,0)))</f>
        <v/>
      </c>
      <c r="H13" s="15">
        <f>IF(D13&gt;=1,"★ 滿分",IF(D13&gt;=0.85,"● 達標",""))</f>
        <v/>
      </c>
    </row>
    <row r="14" ht="34" customHeight="1">
      <c r="A14" s="103" t="inlineStr">
        <is>
          <t xml:space="preserve">  ─ 全般合計 ─</t>
        </is>
      </c>
      <c r="B14" s="104">
        <f>SUM(B9:B13)</f>
        <v/>
      </c>
      <c r="C14" s="104">
        <f>SUM(C9:C13)</f>
        <v/>
      </c>
      <c r="D14" s="153">
        <f>IFERROR(C14/B14,0)</f>
        <v/>
      </c>
      <c r="E14" s="155" t="inlineStr">
        <is>
          <t>—</t>
        </is>
      </c>
      <c r="F14" s="155" t="inlineStr">
        <is>
          <t>—</t>
        </is>
      </c>
      <c r="G14" s="154">
        <f>REPT("█",MIN(15,ROUND(D14*15,0)))</f>
        <v/>
      </c>
      <c r="H14" s="155">
        <f>IF(D14&gt;=0.85,"● 達標","")</f>
        <v/>
      </c>
    </row>
    <row r="15" ht="14" customHeight="1"/>
    <row r="16" ht="34" customHeight="1">
      <c r="A16" s="39" t="inlineStr">
        <is>
          <t xml:space="preserve">   🏆  下半：員警破獲 Top 10（依全般破獲降序排序）</t>
        </is>
      </c>
    </row>
    <row r="17" ht="6" customHeight="1"/>
    <row r="18" ht="34" customHeight="1">
      <c r="A18" s="10" t="inlineStr">
        <is>
          <t>排名</t>
        </is>
      </c>
      <c r="B18" s="10" t="inlineStr">
        <is>
          <t>員警</t>
        </is>
      </c>
      <c r="C18" s="10" t="inlineStr">
        <is>
          <t>全般破獲</t>
        </is>
      </c>
      <c r="D18" s="10" t="inlineStr">
        <is>
          <t>竊盜</t>
        </is>
      </c>
      <c r="E18" s="10" t="inlineStr">
        <is>
          <t>詐欺</t>
        </is>
      </c>
      <c r="F18" s="10" t="inlineStr">
        <is>
          <t>毒品</t>
        </is>
      </c>
      <c r="G18" s="10" t="inlineStr">
        <is>
          <t>暴力犯罪</t>
        </is>
      </c>
      <c r="H18" s="10" t="inlineStr">
        <is>
          <t>其他</t>
        </is>
      </c>
    </row>
    <row r="19" ht="30" customHeight="1">
      <c r="A19" s="152">
        <f>IF(LARGE($I$100:$I$159,1)&gt;0,IF(1=1,"🥇 ",IF(1=2,"🥈 ",IF(1=3,"🥉 ","")))&amp;1,"—")</f>
        <v/>
      </c>
      <c r="B19" s="13">
        <f>IFERROR(INDEX($B$100:$B$159,MATCH(LARGE($I$100:$I$159,1),$I$100:$I$159,0)),"")</f>
        <v/>
      </c>
      <c r="C19" s="141">
        <f>IFERROR(INDEX($C$100:$C$159,MATCH(LARGE($I$100:$I$159,1),$I$100:$I$159,0)),0)</f>
        <v/>
      </c>
      <c r="D19" s="141">
        <f>IFERROR(INDEX($D$100:$D$159,MATCH(LARGE($I$100:$I$159,1),$I$100:$I$159,0)),0)</f>
        <v/>
      </c>
      <c r="E19" s="141">
        <f>IFERROR(INDEX($E$100:$E$159,MATCH(LARGE($I$100:$I$159,1),$I$100:$I$159,0)),0)</f>
        <v/>
      </c>
      <c r="F19" s="141">
        <f>IFERROR(INDEX($F$100:$F$159,MATCH(LARGE($I$100:$I$159,1),$I$100:$I$159,0)),0)</f>
        <v/>
      </c>
      <c r="G19" s="141">
        <f>IFERROR(INDEX($G$100:$G$159,MATCH(LARGE($I$100:$I$159,1),$I$100:$I$159,0)),0)</f>
        <v/>
      </c>
      <c r="H19" s="141">
        <f>IFERROR(INDEX($H$100:$H$159,MATCH(LARGE($I$100:$I$159,1),$I$100:$I$159,0)),0)</f>
        <v/>
      </c>
    </row>
    <row r="20" ht="30" customHeight="1">
      <c r="A20" s="152">
        <f>IF(LARGE($I$100:$I$159,2)&gt;0,IF(2=1,"🥇 ",IF(2=2,"🥈 ",IF(2=3,"🥉 ","")))&amp;2,"—")</f>
        <v/>
      </c>
      <c r="B20" s="13">
        <f>IFERROR(INDEX($B$100:$B$159,MATCH(LARGE($I$100:$I$159,2),$I$100:$I$159,0)),"")</f>
        <v/>
      </c>
      <c r="C20" s="141">
        <f>IFERROR(INDEX($C$100:$C$159,MATCH(LARGE($I$100:$I$159,2),$I$100:$I$159,0)),0)</f>
        <v/>
      </c>
      <c r="D20" s="141">
        <f>IFERROR(INDEX($D$100:$D$159,MATCH(LARGE($I$100:$I$159,2),$I$100:$I$159,0)),0)</f>
        <v/>
      </c>
      <c r="E20" s="141">
        <f>IFERROR(INDEX($E$100:$E$159,MATCH(LARGE($I$100:$I$159,2),$I$100:$I$159,0)),0)</f>
        <v/>
      </c>
      <c r="F20" s="141">
        <f>IFERROR(INDEX($F$100:$F$159,MATCH(LARGE($I$100:$I$159,2),$I$100:$I$159,0)),0)</f>
        <v/>
      </c>
      <c r="G20" s="141">
        <f>IFERROR(INDEX($G$100:$G$159,MATCH(LARGE($I$100:$I$159,2),$I$100:$I$159,0)),0)</f>
        <v/>
      </c>
      <c r="H20" s="141">
        <f>IFERROR(INDEX($H$100:$H$159,MATCH(LARGE($I$100:$I$159,2),$I$100:$I$159,0)),0)</f>
        <v/>
      </c>
    </row>
    <row r="21" ht="30" customHeight="1">
      <c r="A21" s="152">
        <f>IF(LARGE($I$100:$I$159,3)&gt;0,IF(3=1,"🥇 ",IF(3=2,"🥈 ",IF(3=3,"🥉 ","")))&amp;3,"—")</f>
        <v/>
      </c>
      <c r="B21" s="13">
        <f>IFERROR(INDEX($B$100:$B$159,MATCH(LARGE($I$100:$I$159,3),$I$100:$I$159,0)),"")</f>
        <v/>
      </c>
      <c r="C21" s="141">
        <f>IFERROR(INDEX($C$100:$C$159,MATCH(LARGE($I$100:$I$159,3),$I$100:$I$159,0)),0)</f>
        <v/>
      </c>
      <c r="D21" s="141">
        <f>IFERROR(INDEX($D$100:$D$159,MATCH(LARGE($I$100:$I$159,3),$I$100:$I$159,0)),0)</f>
        <v/>
      </c>
      <c r="E21" s="141">
        <f>IFERROR(INDEX($E$100:$E$159,MATCH(LARGE($I$100:$I$159,3),$I$100:$I$159,0)),0)</f>
        <v/>
      </c>
      <c r="F21" s="141">
        <f>IFERROR(INDEX($F$100:$F$159,MATCH(LARGE($I$100:$I$159,3),$I$100:$I$159,0)),0)</f>
        <v/>
      </c>
      <c r="G21" s="141">
        <f>IFERROR(INDEX($G$100:$G$159,MATCH(LARGE($I$100:$I$159,3),$I$100:$I$159,0)),0)</f>
        <v/>
      </c>
      <c r="H21" s="141">
        <f>IFERROR(INDEX($H$100:$H$159,MATCH(LARGE($I$100:$I$159,3),$I$100:$I$159,0)),0)</f>
        <v/>
      </c>
    </row>
    <row r="22" ht="30" customHeight="1">
      <c r="A22" s="152">
        <f>IF(LARGE($I$100:$I$159,4)&gt;0,IF(4=1,"🥇 ",IF(4=2,"🥈 ",IF(4=3,"🥉 ","")))&amp;4,"—")</f>
        <v/>
      </c>
      <c r="B22" s="13">
        <f>IFERROR(INDEX($B$100:$B$159,MATCH(LARGE($I$100:$I$159,4),$I$100:$I$159,0)),"")</f>
        <v/>
      </c>
      <c r="C22" s="141">
        <f>IFERROR(INDEX($C$100:$C$159,MATCH(LARGE($I$100:$I$159,4),$I$100:$I$159,0)),0)</f>
        <v/>
      </c>
      <c r="D22" s="141">
        <f>IFERROR(INDEX($D$100:$D$159,MATCH(LARGE($I$100:$I$159,4),$I$100:$I$159,0)),0)</f>
        <v/>
      </c>
      <c r="E22" s="141">
        <f>IFERROR(INDEX($E$100:$E$159,MATCH(LARGE($I$100:$I$159,4),$I$100:$I$159,0)),0)</f>
        <v/>
      </c>
      <c r="F22" s="141">
        <f>IFERROR(INDEX($F$100:$F$159,MATCH(LARGE($I$100:$I$159,4),$I$100:$I$159,0)),0)</f>
        <v/>
      </c>
      <c r="G22" s="141">
        <f>IFERROR(INDEX($G$100:$G$159,MATCH(LARGE($I$100:$I$159,4),$I$100:$I$159,0)),0)</f>
        <v/>
      </c>
      <c r="H22" s="141">
        <f>IFERROR(INDEX($H$100:$H$159,MATCH(LARGE($I$100:$I$159,4),$I$100:$I$159,0)),0)</f>
        <v/>
      </c>
    </row>
    <row r="23" ht="30" customHeight="1">
      <c r="A23" s="152">
        <f>IF(LARGE($I$100:$I$159,5)&gt;0,IF(5=1,"🥇 ",IF(5=2,"🥈 ",IF(5=3,"🥉 ","")))&amp;5,"—")</f>
        <v/>
      </c>
      <c r="B23" s="13">
        <f>IFERROR(INDEX($B$100:$B$159,MATCH(LARGE($I$100:$I$159,5),$I$100:$I$159,0)),"")</f>
        <v/>
      </c>
      <c r="C23" s="141">
        <f>IFERROR(INDEX($C$100:$C$159,MATCH(LARGE($I$100:$I$159,5),$I$100:$I$159,0)),0)</f>
        <v/>
      </c>
      <c r="D23" s="141">
        <f>IFERROR(INDEX($D$100:$D$159,MATCH(LARGE($I$100:$I$159,5),$I$100:$I$159,0)),0)</f>
        <v/>
      </c>
      <c r="E23" s="141">
        <f>IFERROR(INDEX($E$100:$E$159,MATCH(LARGE($I$100:$I$159,5),$I$100:$I$159,0)),0)</f>
        <v/>
      </c>
      <c r="F23" s="141">
        <f>IFERROR(INDEX($F$100:$F$159,MATCH(LARGE($I$100:$I$159,5),$I$100:$I$159,0)),0)</f>
        <v/>
      </c>
      <c r="G23" s="141">
        <f>IFERROR(INDEX($G$100:$G$159,MATCH(LARGE($I$100:$I$159,5),$I$100:$I$159,0)),0)</f>
        <v/>
      </c>
      <c r="H23" s="141">
        <f>IFERROR(INDEX($H$100:$H$159,MATCH(LARGE($I$100:$I$159,5),$I$100:$I$159,0)),0)</f>
        <v/>
      </c>
    </row>
    <row r="24" ht="30" customHeight="1">
      <c r="A24" s="152">
        <f>IF(LARGE($I$100:$I$159,6)&gt;0,IF(6=1,"🥇 ",IF(6=2,"🥈 ",IF(6=3,"🥉 ","")))&amp;6,"—")</f>
        <v/>
      </c>
      <c r="B24" s="13">
        <f>IFERROR(INDEX($B$100:$B$159,MATCH(LARGE($I$100:$I$159,6),$I$100:$I$159,0)),"")</f>
        <v/>
      </c>
      <c r="C24" s="141">
        <f>IFERROR(INDEX($C$100:$C$159,MATCH(LARGE($I$100:$I$159,6),$I$100:$I$159,0)),0)</f>
        <v/>
      </c>
      <c r="D24" s="141">
        <f>IFERROR(INDEX($D$100:$D$159,MATCH(LARGE($I$100:$I$159,6),$I$100:$I$159,0)),0)</f>
        <v/>
      </c>
      <c r="E24" s="141">
        <f>IFERROR(INDEX($E$100:$E$159,MATCH(LARGE($I$100:$I$159,6),$I$100:$I$159,0)),0)</f>
        <v/>
      </c>
      <c r="F24" s="141">
        <f>IFERROR(INDEX($F$100:$F$159,MATCH(LARGE($I$100:$I$159,6),$I$100:$I$159,0)),0)</f>
        <v/>
      </c>
      <c r="G24" s="141">
        <f>IFERROR(INDEX($G$100:$G$159,MATCH(LARGE($I$100:$I$159,6),$I$100:$I$159,0)),0)</f>
        <v/>
      </c>
      <c r="H24" s="141">
        <f>IFERROR(INDEX($H$100:$H$159,MATCH(LARGE($I$100:$I$159,6),$I$100:$I$159,0)),0)</f>
        <v/>
      </c>
    </row>
    <row r="25" ht="30" customHeight="1">
      <c r="A25" s="152">
        <f>IF(LARGE($I$100:$I$159,7)&gt;0,IF(7=1,"🥇 ",IF(7=2,"🥈 ",IF(7=3,"🥉 ","")))&amp;7,"—")</f>
        <v/>
      </c>
      <c r="B25" s="13">
        <f>IFERROR(INDEX($B$100:$B$159,MATCH(LARGE($I$100:$I$159,7),$I$100:$I$159,0)),"")</f>
        <v/>
      </c>
      <c r="C25" s="141">
        <f>IFERROR(INDEX($C$100:$C$159,MATCH(LARGE($I$100:$I$159,7),$I$100:$I$159,0)),0)</f>
        <v/>
      </c>
      <c r="D25" s="141">
        <f>IFERROR(INDEX($D$100:$D$159,MATCH(LARGE($I$100:$I$159,7),$I$100:$I$159,0)),0)</f>
        <v/>
      </c>
      <c r="E25" s="141">
        <f>IFERROR(INDEX($E$100:$E$159,MATCH(LARGE($I$100:$I$159,7),$I$100:$I$159,0)),0)</f>
        <v/>
      </c>
      <c r="F25" s="141">
        <f>IFERROR(INDEX($F$100:$F$159,MATCH(LARGE($I$100:$I$159,7),$I$100:$I$159,0)),0)</f>
        <v/>
      </c>
      <c r="G25" s="141">
        <f>IFERROR(INDEX($G$100:$G$159,MATCH(LARGE($I$100:$I$159,7),$I$100:$I$159,0)),0)</f>
        <v/>
      </c>
      <c r="H25" s="141">
        <f>IFERROR(INDEX($H$100:$H$159,MATCH(LARGE($I$100:$I$159,7),$I$100:$I$159,0)),0)</f>
        <v/>
      </c>
    </row>
    <row r="26" ht="30" customHeight="1">
      <c r="A26" s="152">
        <f>IF(LARGE($I$100:$I$159,8)&gt;0,IF(8=1,"🥇 ",IF(8=2,"🥈 ",IF(8=3,"🥉 ","")))&amp;8,"—")</f>
        <v/>
      </c>
      <c r="B26" s="13">
        <f>IFERROR(INDEX($B$100:$B$159,MATCH(LARGE($I$100:$I$159,8),$I$100:$I$159,0)),"")</f>
        <v/>
      </c>
      <c r="C26" s="141">
        <f>IFERROR(INDEX($C$100:$C$159,MATCH(LARGE($I$100:$I$159,8),$I$100:$I$159,0)),0)</f>
        <v/>
      </c>
      <c r="D26" s="141">
        <f>IFERROR(INDEX($D$100:$D$159,MATCH(LARGE($I$100:$I$159,8),$I$100:$I$159,0)),0)</f>
        <v/>
      </c>
      <c r="E26" s="141">
        <f>IFERROR(INDEX($E$100:$E$159,MATCH(LARGE($I$100:$I$159,8),$I$100:$I$159,0)),0)</f>
        <v/>
      </c>
      <c r="F26" s="141">
        <f>IFERROR(INDEX($F$100:$F$159,MATCH(LARGE($I$100:$I$159,8),$I$100:$I$159,0)),0)</f>
        <v/>
      </c>
      <c r="G26" s="141">
        <f>IFERROR(INDEX($G$100:$G$159,MATCH(LARGE($I$100:$I$159,8),$I$100:$I$159,0)),0)</f>
        <v/>
      </c>
      <c r="H26" s="141">
        <f>IFERROR(INDEX($H$100:$H$159,MATCH(LARGE($I$100:$I$159,8),$I$100:$I$159,0)),0)</f>
        <v/>
      </c>
    </row>
    <row r="27" ht="30" customHeight="1">
      <c r="A27" s="152">
        <f>IF(LARGE($I$100:$I$159,9)&gt;0,IF(9=1,"🥇 ",IF(9=2,"🥈 ",IF(9=3,"🥉 ","")))&amp;9,"—")</f>
        <v/>
      </c>
      <c r="B27" s="13">
        <f>IFERROR(INDEX($B$100:$B$159,MATCH(LARGE($I$100:$I$159,9),$I$100:$I$159,0)),"")</f>
        <v/>
      </c>
      <c r="C27" s="141">
        <f>IFERROR(INDEX($C$100:$C$159,MATCH(LARGE($I$100:$I$159,9),$I$100:$I$159,0)),0)</f>
        <v/>
      </c>
      <c r="D27" s="141">
        <f>IFERROR(INDEX($D$100:$D$159,MATCH(LARGE($I$100:$I$159,9),$I$100:$I$159,0)),0)</f>
        <v/>
      </c>
      <c r="E27" s="141">
        <f>IFERROR(INDEX($E$100:$E$159,MATCH(LARGE($I$100:$I$159,9),$I$100:$I$159,0)),0)</f>
        <v/>
      </c>
      <c r="F27" s="141">
        <f>IFERROR(INDEX($F$100:$F$159,MATCH(LARGE($I$100:$I$159,9),$I$100:$I$159,0)),0)</f>
        <v/>
      </c>
      <c r="G27" s="141">
        <f>IFERROR(INDEX($G$100:$G$159,MATCH(LARGE($I$100:$I$159,9),$I$100:$I$159,0)),0)</f>
        <v/>
      </c>
      <c r="H27" s="141">
        <f>IFERROR(INDEX($H$100:$H$159,MATCH(LARGE($I$100:$I$159,9),$I$100:$I$159,0)),0)</f>
        <v/>
      </c>
    </row>
    <row r="28" ht="30" customHeight="1">
      <c r="A28" s="152">
        <f>IF(LARGE($I$100:$I$159,10)&gt;0,IF(10=1,"🥇 ",IF(10=2,"🥈 ",IF(10=3,"🥉 ","")))&amp;10,"—")</f>
        <v/>
      </c>
      <c r="B28" s="13">
        <f>IFERROR(INDEX($B$100:$B$159,MATCH(LARGE($I$100:$I$159,10),$I$100:$I$159,0)),"")</f>
        <v/>
      </c>
      <c r="C28" s="141">
        <f>IFERROR(INDEX($C$100:$C$159,MATCH(LARGE($I$100:$I$159,10),$I$100:$I$159,0)),0)</f>
        <v/>
      </c>
      <c r="D28" s="141">
        <f>IFERROR(INDEX($D$100:$D$159,MATCH(LARGE($I$100:$I$159,10),$I$100:$I$159,0)),0)</f>
        <v/>
      </c>
      <c r="E28" s="141">
        <f>IFERROR(INDEX($E$100:$E$159,MATCH(LARGE($I$100:$I$159,10),$I$100:$I$159,0)),0)</f>
        <v/>
      </c>
      <c r="F28" s="141">
        <f>IFERROR(INDEX($F$100:$F$159,MATCH(LARGE($I$100:$I$159,10),$I$100:$I$159,0)),0)</f>
        <v/>
      </c>
      <c r="G28" s="141">
        <f>IFERROR(INDEX($G$100:$G$159,MATCH(LARGE($I$100:$I$159,10),$I$100:$I$159,0)),0)</f>
        <v/>
      </c>
      <c r="H28" s="141">
        <f>IFERROR(INDEX($H$100:$H$159,MATCH(LARGE($I$100:$I$159,10),$I$100:$I$159,0)),0)</f>
        <v/>
      </c>
    </row>
    <row r="29" ht="34" customHeight="1">
      <c r="A29" s="103" t="inlineStr">
        <is>
          <t xml:space="preserve">  ─ Top 10 合計 ─</t>
        </is>
      </c>
      <c r="B29" s="155" t="inlineStr"/>
      <c r="C29" s="104">
        <f>SUM(C19:C28)</f>
        <v/>
      </c>
      <c r="D29" s="104">
        <f>SUM(D19:D28)</f>
        <v/>
      </c>
      <c r="E29" s="104">
        <f>SUM(E19:E28)</f>
        <v/>
      </c>
      <c r="F29" s="104">
        <f>SUM(F19:F28)</f>
        <v/>
      </c>
      <c r="G29" s="104">
        <f>SUM(G19:G28)</f>
        <v/>
      </c>
      <c r="H29" s="104">
        <f>SUM(H19:H28)</f>
        <v/>
      </c>
    </row>
    <row r="30" ht="12" customHeight="1"/>
    <row r="31" ht="22" customHeight="1">
      <c r="A31" s="82">
        <f>"© KKEVIN-LIN-2026-V2.0  ｜  資料源：Tbl案件（SSOT，無獨立 Tbl刑案）  ｜  個別員警深度分析請見頁 11 員警個人卡  ｜  製表："&amp;TEXT(今日,"e/mm/dd")</f>
        <v/>
      </c>
    </row>
    <row r="99" hidden="1">
      <c r="A99" s="83" t="inlineStr">
        <is>
          <t>序號</t>
        </is>
      </c>
      <c r="B99" s="83" t="inlineStr">
        <is>
          <t>員警姓名</t>
        </is>
      </c>
      <c r="C99" s="83" t="inlineStr">
        <is>
          <t>全般破獲</t>
        </is>
      </c>
      <c r="D99" s="83" t="inlineStr">
        <is>
          <t>竊盜</t>
        </is>
      </c>
      <c r="E99" s="83" t="inlineStr">
        <is>
          <t>詐欺</t>
        </is>
      </c>
      <c r="F99" s="83" t="inlineStr">
        <is>
          <t>毒品</t>
        </is>
      </c>
      <c r="G99" s="83" t="inlineStr">
        <is>
          <t>暴力犯罪</t>
        </is>
      </c>
      <c r="H99" s="83" t="inlineStr">
        <is>
          <t>其他</t>
        </is>
      </c>
      <c r="I99" s="83" t="inlineStr">
        <is>
          <t>排名鍵</t>
        </is>
      </c>
    </row>
    <row r="100" hidden="1">
      <c r="A100" s="86" t="n">
        <v>1</v>
      </c>
      <c r="B100" s="83">
        <f>IFERROR(INDEX(員警姓名清單,1),"")</f>
        <v/>
      </c>
      <c r="C100" s="86">
        <f>IF(B100="",0,IFERROR(COUNTIFS(Tbl案件[承辦人],B100,Tbl案件[是否破獲],"是",Tbl案件[歸屬年度],(YEAR(今日)-1911)),0))</f>
        <v/>
      </c>
      <c r="D100" s="86">
        <f>IF(B100="",0,IFERROR(COUNTIFS(Tbl案件[承辦人],B100,Tbl案件[案類分類],"竊盜",Tbl案件[是否破獲],"是",Tbl案件[歸屬年度],(YEAR(今日)-1911)),0))</f>
        <v/>
      </c>
      <c r="E100" s="86">
        <f>IF(B100="",0,IFERROR(COUNTIFS(Tbl案件[承辦人],B100,Tbl案件[案類分類],"詐欺",Tbl案件[是否破獲],"是",Tbl案件[歸屬年度],(YEAR(今日)-1911)),0))</f>
        <v/>
      </c>
      <c r="F100" s="86">
        <f>IF(B100="",0,IFERROR(COUNTIFS(Tbl案件[承辦人],B100,Tbl案件[案類分類],"毒品",Tbl案件[是否破獲],"是",Tbl案件[歸屬年度],(YEAR(今日)-1911)),0))</f>
        <v/>
      </c>
      <c r="G100" s="86">
        <f>IF(B100="",0,IFERROR(COUNTIFS(Tbl案件[承辦人],B100,Tbl案件[案類分類],"暴力犯罪",Tbl案件[是否破獲],"是",Tbl案件[歸屬年度],(YEAR(今日)-1911)),0))</f>
        <v/>
      </c>
      <c r="H100" s="86">
        <f>MAX(0,C100-D100-E100-F100-G100)</f>
        <v/>
      </c>
      <c r="I100" s="163">
        <f>IF(B100="",0,C100+1*0.0001)</f>
        <v/>
      </c>
    </row>
    <row r="101" hidden="1">
      <c r="A101" s="86" t="n">
        <v>2</v>
      </c>
      <c r="B101" s="83">
        <f>IFERROR(INDEX(員警姓名清單,2),"")</f>
        <v/>
      </c>
      <c r="C101" s="86">
        <f>IF(B101="",0,IFERROR(COUNTIFS(Tbl案件[承辦人],B101,Tbl案件[是否破獲],"是",Tbl案件[歸屬年度],(YEAR(今日)-1911)),0))</f>
        <v/>
      </c>
      <c r="D101" s="86">
        <f>IF(B101="",0,IFERROR(COUNTIFS(Tbl案件[承辦人],B101,Tbl案件[案類分類],"竊盜",Tbl案件[是否破獲],"是",Tbl案件[歸屬年度],(YEAR(今日)-1911)),0))</f>
        <v/>
      </c>
      <c r="E101" s="86">
        <f>IF(B101="",0,IFERROR(COUNTIFS(Tbl案件[承辦人],B101,Tbl案件[案類分類],"詐欺",Tbl案件[是否破獲],"是",Tbl案件[歸屬年度],(YEAR(今日)-1911)),0))</f>
        <v/>
      </c>
      <c r="F101" s="86">
        <f>IF(B101="",0,IFERROR(COUNTIFS(Tbl案件[承辦人],B101,Tbl案件[案類分類],"毒品",Tbl案件[是否破獲],"是",Tbl案件[歸屬年度],(YEAR(今日)-1911)),0))</f>
        <v/>
      </c>
      <c r="G101" s="86">
        <f>IF(B101="",0,IFERROR(COUNTIFS(Tbl案件[承辦人],B101,Tbl案件[案類分類],"暴力犯罪",Tbl案件[是否破獲],"是",Tbl案件[歸屬年度],(YEAR(今日)-1911)),0))</f>
        <v/>
      </c>
      <c r="H101" s="86">
        <f>MAX(0,C101-D101-E101-F101-G101)</f>
        <v/>
      </c>
      <c r="I101" s="163">
        <f>IF(B101="",0,C101+2*0.0001)</f>
        <v/>
      </c>
    </row>
    <row r="102" hidden="1">
      <c r="A102" s="86" t="n">
        <v>3</v>
      </c>
      <c r="B102" s="83">
        <f>IFERROR(INDEX(員警姓名清單,3),"")</f>
        <v/>
      </c>
      <c r="C102" s="86">
        <f>IF(B102="",0,IFERROR(COUNTIFS(Tbl案件[承辦人],B102,Tbl案件[是否破獲],"是",Tbl案件[歸屬年度],(YEAR(今日)-1911)),0))</f>
        <v/>
      </c>
      <c r="D102" s="86">
        <f>IF(B102="",0,IFERROR(COUNTIFS(Tbl案件[承辦人],B102,Tbl案件[案類分類],"竊盜",Tbl案件[是否破獲],"是",Tbl案件[歸屬年度],(YEAR(今日)-1911)),0))</f>
        <v/>
      </c>
      <c r="E102" s="86">
        <f>IF(B102="",0,IFERROR(COUNTIFS(Tbl案件[承辦人],B102,Tbl案件[案類分類],"詐欺",Tbl案件[是否破獲],"是",Tbl案件[歸屬年度],(YEAR(今日)-1911)),0))</f>
        <v/>
      </c>
      <c r="F102" s="86">
        <f>IF(B102="",0,IFERROR(COUNTIFS(Tbl案件[承辦人],B102,Tbl案件[案類分類],"毒品",Tbl案件[是否破獲],"是",Tbl案件[歸屬年度],(YEAR(今日)-1911)),0))</f>
        <v/>
      </c>
      <c r="G102" s="86">
        <f>IF(B102="",0,IFERROR(COUNTIFS(Tbl案件[承辦人],B102,Tbl案件[案類分類],"暴力犯罪",Tbl案件[是否破獲],"是",Tbl案件[歸屬年度],(YEAR(今日)-1911)),0))</f>
        <v/>
      </c>
      <c r="H102" s="86">
        <f>MAX(0,C102-D102-E102-F102-G102)</f>
        <v/>
      </c>
      <c r="I102" s="163">
        <f>IF(B102="",0,C102+3*0.0001)</f>
        <v/>
      </c>
    </row>
    <row r="103" hidden="1">
      <c r="A103" s="86" t="n">
        <v>4</v>
      </c>
      <c r="B103" s="83">
        <f>IFERROR(INDEX(員警姓名清單,4),"")</f>
        <v/>
      </c>
      <c r="C103" s="86">
        <f>IF(B103="",0,IFERROR(COUNTIFS(Tbl案件[承辦人],B103,Tbl案件[是否破獲],"是",Tbl案件[歸屬年度],(YEAR(今日)-1911)),0))</f>
        <v/>
      </c>
      <c r="D103" s="86">
        <f>IF(B103="",0,IFERROR(COUNTIFS(Tbl案件[承辦人],B103,Tbl案件[案類分類],"竊盜",Tbl案件[是否破獲],"是",Tbl案件[歸屬年度],(YEAR(今日)-1911)),0))</f>
        <v/>
      </c>
      <c r="E103" s="86">
        <f>IF(B103="",0,IFERROR(COUNTIFS(Tbl案件[承辦人],B103,Tbl案件[案類分類],"詐欺",Tbl案件[是否破獲],"是",Tbl案件[歸屬年度],(YEAR(今日)-1911)),0))</f>
        <v/>
      </c>
      <c r="F103" s="86">
        <f>IF(B103="",0,IFERROR(COUNTIFS(Tbl案件[承辦人],B103,Tbl案件[案類分類],"毒品",Tbl案件[是否破獲],"是",Tbl案件[歸屬年度],(YEAR(今日)-1911)),0))</f>
        <v/>
      </c>
      <c r="G103" s="86">
        <f>IF(B103="",0,IFERROR(COUNTIFS(Tbl案件[承辦人],B103,Tbl案件[案類分類],"暴力犯罪",Tbl案件[是否破獲],"是",Tbl案件[歸屬年度],(YEAR(今日)-1911)),0))</f>
        <v/>
      </c>
      <c r="H103" s="86">
        <f>MAX(0,C103-D103-E103-F103-G103)</f>
        <v/>
      </c>
      <c r="I103" s="163">
        <f>IF(B103="",0,C103+4*0.0001)</f>
        <v/>
      </c>
    </row>
    <row r="104" hidden="1">
      <c r="A104" s="86" t="n">
        <v>5</v>
      </c>
      <c r="B104" s="83">
        <f>IFERROR(INDEX(員警姓名清單,5),"")</f>
        <v/>
      </c>
      <c r="C104" s="86">
        <f>IF(B104="",0,IFERROR(COUNTIFS(Tbl案件[承辦人],B104,Tbl案件[是否破獲],"是",Tbl案件[歸屬年度],(YEAR(今日)-1911)),0))</f>
        <v/>
      </c>
      <c r="D104" s="86">
        <f>IF(B104="",0,IFERROR(COUNTIFS(Tbl案件[承辦人],B104,Tbl案件[案類分類],"竊盜",Tbl案件[是否破獲],"是",Tbl案件[歸屬年度],(YEAR(今日)-1911)),0))</f>
        <v/>
      </c>
      <c r="E104" s="86">
        <f>IF(B104="",0,IFERROR(COUNTIFS(Tbl案件[承辦人],B104,Tbl案件[案類分類],"詐欺",Tbl案件[是否破獲],"是",Tbl案件[歸屬年度],(YEAR(今日)-1911)),0))</f>
        <v/>
      </c>
      <c r="F104" s="86">
        <f>IF(B104="",0,IFERROR(COUNTIFS(Tbl案件[承辦人],B104,Tbl案件[案類分類],"毒品",Tbl案件[是否破獲],"是",Tbl案件[歸屬年度],(YEAR(今日)-1911)),0))</f>
        <v/>
      </c>
      <c r="G104" s="86">
        <f>IF(B104="",0,IFERROR(COUNTIFS(Tbl案件[承辦人],B104,Tbl案件[案類分類],"暴力犯罪",Tbl案件[是否破獲],"是",Tbl案件[歸屬年度],(YEAR(今日)-1911)),0))</f>
        <v/>
      </c>
      <c r="H104" s="86">
        <f>MAX(0,C104-D104-E104-F104-G104)</f>
        <v/>
      </c>
      <c r="I104" s="163">
        <f>IF(B104="",0,C104+5*0.0001)</f>
        <v/>
      </c>
    </row>
    <row r="105" hidden="1">
      <c r="A105" s="86" t="n">
        <v>6</v>
      </c>
      <c r="B105" s="83">
        <f>IFERROR(INDEX(員警姓名清單,6),"")</f>
        <v/>
      </c>
      <c r="C105" s="86">
        <f>IF(B105="",0,IFERROR(COUNTIFS(Tbl案件[承辦人],B105,Tbl案件[是否破獲],"是",Tbl案件[歸屬年度],(YEAR(今日)-1911)),0))</f>
        <v/>
      </c>
      <c r="D105" s="86">
        <f>IF(B105="",0,IFERROR(COUNTIFS(Tbl案件[承辦人],B105,Tbl案件[案類分類],"竊盜",Tbl案件[是否破獲],"是",Tbl案件[歸屬年度],(YEAR(今日)-1911)),0))</f>
        <v/>
      </c>
      <c r="E105" s="86">
        <f>IF(B105="",0,IFERROR(COUNTIFS(Tbl案件[承辦人],B105,Tbl案件[案類分類],"詐欺",Tbl案件[是否破獲],"是",Tbl案件[歸屬年度],(YEAR(今日)-1911)),0))</f>
        <v/>
      </c>
      <c r="F105" s="86">
        <f>IF(B105="",0,IFERROR(COUNTIFS(Tbl案件[承辦人],B105,Tbl案件[案類分類],"毒品",Tbl案件[是否破獲],"是",Tbl案件[歸屬年度],(YEAR(今日)-1911)),0))</f>
        <v/>
      </c>
      <c r="G105" s="86">
        <f>IF(B105="",0,IFERROR(COUNTIFS(Tbl案件[承辦人],B105,Tbl案件[案類分類],"暴力犯罪",Tbl案件[是否破獲],"是",Tbl案件[歸屬年度],(YEAR(今日)-1911)),0))</f>
        <v/>
      </c>
      <c r="H105" s="86">
        <f>MAX(0,C105-D105-E105-F105-G105)</f>
        <v/>
      </c>
      <c r="I105" s="163">
        <f>IF(B105="",0,C105+6*0.0001)</f>
        <v/>
      </c>
    </row>
    <row r="106" hidden="1">
      <c r="A106" s="86" t="n">
        <v>7</v>
      </c>
      <c r="B106" s="83">
        <f>IFERROR(INDEX(員警姓名清單,7),"")</f>
        <v/>
      </c>
      <c r="C106" s="86">
        <f>IF(B106="",0,IFERROR(COUNTIFS(Tbl案件[承辦人],B106,Tbl案件[是否破獲],"是",Tbl案件[歸屬年度],(YEAR(今日)-1911)),0))</f>
        <v/>
      </c>
      <c r="D106" s="86">
        <f>IF(B106="",0,IFERROR(COUNTIFS(Tbl案件[承辦人],B106,Tbl案件[案類分類],"竊盜",Tbl案件[是否破獲],"是",Tbl案件[歸屬年度],(YEAR(今日)-1911)),0))</f>
        <v/>
      </c>
      <c r="E106" s="86">
        <f>IF(B106="",0,IFERROR(COUNTIFS(Tbl案件[承辦人],B106,Tbl案件[案類分類],"詐欺",Tbl案件[是否破獲],"是",Tbl案件[歸屬年度],(YEAR(今日)-1911)),0))</f>
        <v/>
      </c>
      <c r="F106" s="86">
        <f>IF(B106="",0,IFERROR(COUNTIFS(Tbl案件[承辦人],B106,Tbl案件[案類分類],"毒品",Tbl案件[是否破獲],"是",Tbl案件[歸屬年度],(YEAR(今日)-1911)),0))</f>
        <v/>
      </c>
      <c r="G106" s="86">
        <f>IF(B106="",0,IFERROR(COUNTIFS(Tbl案件[承辦人],B106,Tbl案件[案類分類],"暴力犯罪",Tbl案件[是否破獲],"是",Tbl案件[歸屬年度],(YEAR(今日)-1911)),0))</f>
        <v/>
      </c>
      <c r="H106" s="86">
        <f>MAX(0,C106-D106-E106-F106-G106)</f>
        <v/>
      </c>
      <c r="I106" s="163">
        <f>IF(B106="",0,C106+7*0.0001)</f>
        <v/>
      </c>
    </row>
    <row r="107" hidden="1">
      <c r="A107" s="86" t="n">
        <v>8</v>
      </c>
      <c r="B107" s="83">
        <f>IFERROR(INDEX(員警姓名清單,8),"")</f>
        <v/>
      </c>
      <c r="C107" s="86">
        <f>IF(B107="",0,IFERROR(COUNTIFS(Tbl案件[承辦人],B107,Tbl案件[是否破獲],"是",Tbl案件[歸屬年度],(YEAR(今日)-1911)),0))</f>
        <v/>
      </c>
      <c r="D107" s="86">
        <f>IF(B107="",0,IFERROR(COUNTIFS(Tbl案件[承辦人],B107,Tbl案件[案類分類],"竊盜",Tbl案件[是否破獲],"是",Tbl案件[歸屬年度],(YEAR(今日)-1911)),0))</f>
        <v/>
      </c>
      <c r="E107" s="86">
        <f>IF(B107="",0,IFERROR(COUNTIFS(Tbl案件[承辦人],B107,Tbl案件[案類分類],"詐欺",Tbl案件[是否破獲],"是",Tbl案件[歸屬年度],(YEAR(今日)-1911)),0))</f>
        <v/>
      </c>
      <c r="F107" s="86">
        <f>IF(B107="",0,IFERROR(COUNTIFS(Tbl案件[承辦人],B107,Tbl案件[案類分類],"毒品",Tbl案件[是否破獲],"是",Tbl案件[歸屬年度],(YEAR(今日)-1911)),0))</f>
        <v/>
      </c>
      <c r="G107" s="86">
        <f>IF(B107="",0,IFERROR(COUNTIFS(Tbl案件[承辦人],B107,Tbl案件[案類分類],"暴力犯罪",Tbl案件[是否破獲],"是",Tbl案件[歸屬年度],(YEAR(今日)-1911)),0))</f>
        <v/>
      </c>
      <c r="H107" s="86">
        <f>MAX(0,C107-D107-E107-F107-G107)</f>
        <v/>
      </c>
      <c r="I107" s="163">
        <f>IF(B107="",0,C107+8*0.0001)</f>
        <v/>
      </c>
    </row>
    <row r="108" hidden="1">
      <c r="A108" s="86" t="n">
        <v>9</v>
      </c>
      <c r="B108" s="83">
        <f>IFERROR(INDEX(員警姓名清單,9),"")</f>
        <v/>
      </c>
      <c r="C108" s="86">
        <f>IF(B108="",0,IFERROR(COUNTIFS(Tbl案件[承辦人],B108,Tbl案件[是否破獲],"是",Tbl案件[歸屬年度],(YEAR(今日)-1911)),0))</f>
        <v/>
      </c>
      <c r="D108" s="86">
        <f>IF(B108="",0,IFERROR(COUNTIFS(Tbl案件[承辦人],B108,Tbl案件[案類分類],"竊盜",Tbl案件[是否破獲],"是",Tbl案件[歸屬年度],(YEAR(今日)-1911)),0))</f>
        <v/>
      </c>
      <c r="E108" s="86">
        <f>IF(B108="",0,IFERROR(COUNTIFS(Tbl案件[承辦人],B108,Tbl案件[案類分類],"詐欺",Tbl案件[是否破獲],"是",Tbl案件[歸屬年度],(YEAR(今日)-1911)),0))</f>
        <v/>
      </c>
      <c r="F108" s="86">
        <f>IF(B108="",0,IFERROR(COUNTIFS(Tbl案件[承辦人],B108,Tbl案件[案類分類],"毒品",Tbl案件[是否破獲],"是",Tbl案件[歸屬年度],(YEAR(今日)-1911)),0))</f>
        <v/>
      </c>
      <c r="G108" s="86">
        <f>IF(B108="",0,IFERROR(COUNTIFS(Tbl案件[承辦人],B108,Tbl案件[案類分類],"暴力犯罪",Tbl案件[是否破獲],"是",Tbl案件[歸屬年度],(YEAR(今日)-1911)),0))</f>
        <v/>
      </c>
      <c r="H108" s="86">
        <f>MAX(0,C108-D108-E108-F108-G108)</f>
        <v/>
      </c>
      <c r="I108" s="163">
        <f>IF(B108="",0,C108+9*0.0001)</f>
        <v/>
      </c>
    </row>
    <row r="109" hidden="1">
      <c r="A109" s="86" t="n">
        <v>10</v>
      </c>
      <c r="B109" s="83">
        <f>IFERROR(INDEX(員警姓名清單,10),"")</f>
        <v/>
      </c>
      <c r="C109" s="86">
        <f>IF(B109="",0,IFERROR(COUNTIFS(Tbl案件[承辦人],B109,Tbl案件[是否破獲],"是",Tbl案件[歸屬年度],(YEAR(今日)-1911)),0))</f>
        <v/>
      </c>
      <c r="D109" s="86">
        <f>IF(B109="",0,IFERROR(COUNTIFS(Tbl案件[承辦人],B109,Tbl案件[案類分類],"竊盜",Tbl案件[是否破獲],"是",Tbl案件[歸屬年度],(YEAR(今日)-1911)),0))</f>
        <v/>
      </c>
      <c r="E109" s="86">
        <f>IF(B109="",0,IFERROR(COUNTIFS(Tbl案件[承辦人],B109,Tbl案件[案類分類],"詐欺",Tbl案件[是否破獲],"是",Tbl案件[歸屬年度],(YEAR(今日)-1911)),0))</f>
        <v/>
      </c>
      <c r="F109" s="86">
        <f>IF(B109="",0,IFERROR(COUNTIFS(Tbl案件[承辦人],B109,Tbl案件[案類分類],"毒品",Tbl案件[是否破獲],"是",Tbl案件[歸屬年度],(YEAR(今日)-1911)),0))</f>
        <v/>
      </c>
      <c r="G109" s="86">
        <f>IF(B109="",0,IFERROR(COUNTIFS(Tbl案件[承辦人],B109,Tbl案件[案類分類],"暴力犯罪",Tbl案件[是否破獲],"是",Tbl案件[歸屬年度],(YEAR(今日)-1911)),0))</f>
        <v/>
      </c>
      <c r="H109" s="86">
        <f>MAX(0,C109-D109-E109-F109-G109)</f>
        <v/>
      </c>
      <c r="I109" s="163">
        <f>IF(B109="",0,C109+10*0.0001)</f>
        <v/>
      </c>
    </row>
    <row r="110" hidden="1">
      <c r="A110" s="86" t="n">
        <v>11</v>
      </c>
      <c r="B110" s="83">
        <f>IFERROR(INDEX(員警姓名清單,11),"")</f>
        <v/>
      </c>
      <c r="C110" s="86">
        <f>IF(B110="",0,IFERROR(COUNTIFS(Tbl案件[承辦人],B110,Tbl案件[是否破獲],"是",Tbl案件[歸屬年度],(YEAR(今日)-1911)),0))</f>
        <v/>
      </c>
      <c r="D110" s="86">
        <f>IF(B110="",0,IFERROR(COUNTIFS(Tbl案件[承辦人],B110,Tbl案件[案類分類],"竊盜",Tbl案件[是否破獲],"是",Tbl案件[歸屬年度],(YEAR(今日)-1911)),0))</f>
        <v/>
      </c>
      <c r="E110" s="86">
        <f>IF(B110="",0,IFERROR(COUNTIFS(Tbl案件[承辦人],B110,Tbl案件[案類分類],"詐欺",Tbl案件[是否破獲],"是",Tbl案件[歸屬年度],(YEAR(今日)-1911)),0))</f>
        <v/>
      </c>
      <c r="F110" s="86">
        <f>IF(B110="",0,IFERROR(COUNTIFS(Tbl案件[承辦人],B110,Tbl案件[案類分類],"毒品",Tbl案件[是否破獲],"是",Tbl案件[歸屬年度],(YEAR(今日)-1911)),0))</f>
        <v/>
      </c>
      <c r="G110" s="86">
        <f>IF(B110="",0,IFERROR(COUNTIFS(Tbl案件[承辦人],B110,Tbl案件[案類分類],"暴力犯罪",Tbl案件[是否破獲],"是",Tbl案件[歸屬年度],(YEAR(今日)-1911)),0))</f>
        <v/>
      </c>
      <c r="H110" s="86">
        <f>MAX(0,C110-D110-E110-F110-G110)</f>
        <v/>
      </c>
      <c r="I110" s="163">
        <f>IF(B110="",0,C110+11*0.0001)</f>
        <v/>
      </c>
    </row>
    <row r="111" hidden="1">
      <c r="A111" s="86" t="n">
        <v>12</v>
      </c>
      <c r="B111" s="83">
        <f>IFERROR(INDEX(員警姓名清單,12),"")</f>
        <v/>
      </c>
      <c r="C111" s="86">
        <f>IF(B111="",0,IFERROR(COUNTIFS(Tbl案件[承辦人],B111,Tbl案件[是否破獲],"是",Tbl案件[歸屬年度],(YEAR(今日)-1911)),0))</f>
        <v/>
      </c>
      <c r="D111" s="86">
        <f>IF(B111="",0,IFERROR(COUNTIFS(Tbl案件[承辦人],B111,Tbl案件[案類分類],"竊盜",Tbl案件[是否破獲],"是",Tbl案件[歸屬年度],(YEAR(今日)-1911)),0))</f>
        <v/>
      </c>
      <c r="E111" s="86">
        <f>IF(B111="",0,IFERROR(COUNTIFS(Tbl案件[承辦人],B111,Tbl案件[案類分類],"詐欺",Tbl案件[是否破獲],"是",Tbl案件[歸屬年度],(YEAR(今日)-1911)),0))</f>
        <v/>
      </c>
      <c r="F111" s="86">
        <f>IF(B111="",0,IFERROR(COUNTIFS(Tbl案件[承辦人],B111,Tbl案件[案類分類],"毒品",Tbl案件[是否破獲],"是",Tbl案件[歸屬年度],(YEAR(今日)-1911)),0))</f>
        <v/>
      </c>
      <c r="G111" s="86">
        <f>IF(B111="",0,IFERROR(COUNTIFS(Tbl案件[承辦人],B111,Tbl案件[案類分類],"暴力犯罪",Tbl案件[是否破獲],"是",Tbl案件[歸屬年度],(YEAR(今日)-1911)),0))</f>
        <v/>
      </c>
      <c r="H111" s="86">
        <f>MAX(0,C111-D111-E111-F111-G111)</f>
        <v/>
      </c>
      <c r="I111" s="163">
        <f>IF(B111="",0,C111+12*0.0001)</f>
        <v/>
      </c>
    </row>
    <row r="112" hidden="1">
      <c r="A112" s="86" t="n">
        <v>13</v>
      </c>
      <c r="B112" s="83">
        <f>IFERROR(INDEX(員警姓名清單,13),"")</f>
        <v/>
      </c>
      <c r="C112" s="86">
        <f>IF(B112="",0,IFERROR(COUNTIFS(Tbl案件[承辦人],B112,Tbl案件[是否破獲],"是",Tbl案件[歸屬年度],(YEAR(今日)-1911)),0))</f>
        <v/>
      </c>
      <c r="D112" s="86">
        <f>IF(B112="",0,IFERROR(COUNTIFS(Tbl案件[承辦人],B112,Tbl案件[案類分類],"竊盜",Tbl案件[是否破獲],"是",Tbl案件[歸屬年度],(YEAR(今日)-1911)),0))</f>
        <v/>
      </c>
      <c r="E112" s="86">
        <f>IF(B112="",0,IFERROR(COUNTIFS(Tbl案件[承辦人],B112,Tbl案件[案類分類],"詐欺",Tbl案件[是否破獲],"是",Tbl案件[歸屬年度],(YEAR(今日)-1911)),0))</f>
        <v/>
      </c>
      <c r="F112" s="86">
        <f>IF(B112="",0,IFERROR(COUNTIFS(Tbl案件[承辦人],B112,Tbl案件[案類分類],"毒品",Tbl案件[是否破獲],"是",Tbl案件[歸屬年度],(YEAR(今日)-1911)),0))</f>
        <v/>
      </c>
      <c r="G112" s="86">
        <f>IF(B112="",0,IFERROR(COUNTIFS(Tbl案件[承辦人],B112,Tbl案件[案類分類],"暴力犯罪",Tbl案件[是否破獲],"是",Tbl案件[歸屬年度],(YEAR(今日)-1911)),0))</f>
        <v/>
      </c>
      <c r="H112" s="86">
        <f>MAX(0,C112-D112-E112-F112-G112)</f>
        <v/>
      </c>
      <c r="I112" s="163">
        <f>IF(B112="",0,C112+13*0.0001)</f>
        <v/>
      </c>
    </row>
    <row r="113" hidden="1">
      <c r="A113" s="86" t="n">
        <v>14</v>
      </c>
      <c r="B113" s="83">
        <f>IFERROR(INDEX(員警姓名清單,14),"")</f>
        <v/>
      </c>
      <c r="C113" s="86">
        <f>IF(B113="",0,IFERROR(COUNTIFS(Tbl案件[承辦人],B113,Tbl案件[是否破獲],"是",Tbl案件[歸屬年度],(YEAR(今日)-1911)),0))</f>
        <v/>
      </c>
      <c r="D113" s="86">
        <f>IF(B113="",0,IFERROR(COUNTIFS(Tbl案件[承辦人],B113,Tbl案件[案類分類],"竊盜",Tbl案件[是否破獲],"是",Tbl案件[歸屬年度],(YEAR(今日)-1911)),0))</f>
        <v/>
      </c>
      <c r="E113" s="86">
        <f>IF(B113="",0,IFERROR(COUNTIFS(Tbl案件[承辦人],B113,Tbl案件[案類分類],"詐欺",Tbl案件[是否破獲],"是",Tbl案件[歸屬年度],(YEAR(今日)-1911)),0))</f>
        <v/>
      </c>
      <c r="F113" s="86">
        <f>IF(B113="",0,IFERROR(COUNTIFS(Tbl案件[承辦人],B113,Tbl案件[案類分類],"毒品",Tbl案件[是否破獲],"是",Tbl案件[歸屬年度],(YEAR(今日)-1911)),0))</f>
        <v/>
      </c>
      <c r="G113" s="86">
        <f>IF(B113="",0,IFERROR(COUNTIFS(Tbl案件[承辦人],B113,Tbl案件[案類分類],"暴力犯罪",Tbl案件[是否破獲],"是",Tbl案件[歸屬年度],(YEAR(今日)-1911)),0))</f>
        <v/>
      </c>
      <c r="H113" s="86">
        <f>MAX(0,C113-D113-E113-F113-G113)</f>
        <v/>
      </c>
      <c r="I113" s="163">
        <f>IF(B113="",0,C113+14*0.0001)</f>
        <v/>
      </c>
    </row>
    <row r="114" hidden="1">
      <c r="A114" s="86" t="n">
        <v>15</v>
      </c>
      <c r="B114" s="83">
        <f>IFERROR(INDEX(員警姓名清單,15),"")</f>
        <v/>
      </c>
      <c r="C114" s="86">
        <f>IF(B114="",0,IFERROR(COUNTIFS(Tbl案件[承辦人],B114,Tbl案件[是否破獲],"是",Tbl案件[歸屬年度],(YEAR(今日)-1911)),0))</f>
        <v/>
      </c>
      <c r="D114" s="86">
        <f>IF(B114="",0,IFERROR(COUNTIFS(Tbl案件[承辦人],B114,Tbl案件[案類分類],"竊盜",Tbl案件[是否破獲],"是",Tbl案件[歸屬年度],(YEAR(今日)-1911)),0))</f>
        <v/>
      </c>
      <c r="E114" s="86">
        <f>IF(B114="",0,IFERROR(COUNTIFS(Tbl案件[承辦人],B114,Tbl案件[案類分類],"詐欺",Tbl案件[是否破獲],"是",Tbl案件[歸屬年度],(YEAR(今日)-1911)),0))</f>
        <v/>
      </c>
      <c r="F114" s="86">
        <f>IF(B114="",0,IFERROR(COUNTIFS(Tbl案件[承辦人],B114,Tbl案件[案類分類],"毒品",Tbl案件[是否破獲],"是",Tbl案件[歸屬年度],(YEAR(今日)-1911)),0))</f>
        <v/>
      </c>
      <c r="G114" s="86">
        <f>IF(B114="",0,IFERROR(COUNTIFS(Tbl案件[承辦人],B114,Tbl案件[案類分類],"暴力犯罪",Tbl案件[是否破獲],"是",Tbl案件[歸屬年度],(YEAR(今日)-1911)),0))</f>
        <v/>
      </c>
      <c r="H114" s="86">
        <f>MAX(0,C114-D114-E114-F114-G114)</f>
        <v/>
      </c>
      <c r="I114" s="163">
        <f>IF(B114="",0,C114+15*0.0001)</f>
        <v/>
      </c>
    </row>
    <row r="115" hidden="1">
      <c r="A115" s="86" t="n">
        <v>16</v>
      </c>
      <c r="B115" s="83">
        <f>IFERROR(INDEX(員警姓名清單,16),"")</f>
        <v/>
      </c>
      <c r="C115" s="86">
        <f>IF(B115="",0,IFERROR(COUNTIFS(Tbl案件[承辦人],B115,Tbl案件[是否破獲],"是",Tbl案件[歸屬年度],(YEAR(今日)-1911)),0))</f>
        <v/>
      </c>
      <c r="D115" s="86">
        <f>IF(B115="",0,IFERROR(COUNTIFS(Tbl案件[承辦人],B115,Tbl案件[案類分類],"竊盜",Tbl案件[是否破獲],"是",Tbl案件[歸屬年度],(YEAR(今日)-1911)),0))</f>
        <v/>
      </c>
      <c r="E115" s="86">
        <f>IF(B115="",0,IFERROR(COUNTIFS(Tbl案件[承辦人],B115,Tbl案件[案類分類],"詐欺",Tbl案件[是否破獲],"是",Tbl案件[歸屬年度],(YEAR(今日)-1911)),0))</f>
        <v/>
      </c>
      <c r="F115" s="86">
        <f>IF(B115="",0,IFERROR(COUNTIFS(Tbl案件[承辦人],B115,Tbl案件[案類分類],"毒品",Tbl案件[是否破獲],"是",Tbl案件[歸屬年度],(YEAR(今日)-1911)),0))</f>
        <v/>
      </c>
      <c r="G115" s="86">
        <f>IF(B115="",0,IFERROR(COUNTIFS(Tbl案件[承辦人],B115,Tbl案件[案類分類],"暴力犯罪",Tbl案件[是否破獲],"是",Tbl案件[歸屬年度],(YEAR(今日)-1911)),0))</f>
        <v/>
      </c>
      <c r="H115" s="86">
        <f>MAX(0,C115-D115-E115-F115-G115)</f>
        <v/>
      </c>
      <c r="I115" s="163">
        <f>IF(B115="",0,C115+16*0.0001)</f>
        <v/>
      </c>
    </row>
    <row r="116" hidden="1">
      <c r="A116" s="86" t="n">
        <v>17</v>
      </c>
      <c r="B116" s="83">
        <f>IFERROR(INDEX(員警姓名清單,17),"")</f>
        <v/>
      </c>
      <c r="C116" s="86">
        <f>IF(B116="",0,IFERROR(COUNTIFS(Tbl案件[承辦人],B116,Tbl案件[是否破獲],"是",Tbl案件[歸屬年度],(YEAR(今日)-1911)),0))</f>
        <v/>
      </c>
      <c r="D116" s="86">
        <f>IF(B116="",0,IFERROR(COUNTIFS(Tbl案件[承辦人],B116,Tbl案件[案類分類],"竊盜",Tbl案件[是否破獲],"是",Tbl案件[歸屬年度],(YEAR(今日)-1911)),0))</f>
        <v/>
      </c>
      <c r="E116" s="86">
        <f>IF(B116="",0,IFERROR(COUNTIFS(Tbl案件[承辦人],B116,Tbl案件[案類分類],"詐欺",Tbl案件[是否破獲],"是",Tbl案件[歸屬年度],(YEAR(今日)-1911)),0))</f>
        <v/>
      </c>
      <c r="F116" s="86">
        <f>IF(B116="",0,IFERROR(COUNTIFS(Tbl案件[承辦人],B116,Tbl案件[案類分類],"毒品",Tbl案件[是否破獲],"是",Tbl案件[歸屬年度],(YEAR(今日)-1911)),0))</f>
        <v/>
      </c>
      <c r="G116" s="86">
        <f>IF(B116="",0,IFERROR(COUNTIFS(Tbl案件[承辦人],B116,Tbl案件[案類分類],"暴力犯罪",Tbl案件[是否破獲],"是",Tbl案件[歸屬年度],(YEAR(今日)-1911)),0))</f>
        <v/>
      </c>
      <c r="H116" s="86">
        <f>MAX(0,C116-D116-E116-F116-G116)</f>
        <v/>
      </c>
      <c r="I116" s="163">
        <f>IF(B116="",0,C116+17*0.0001)</f>
        <v/>
      </c>
    </row>
    <row r="117" hidden="1">
      <c r="A117" s="86" t="n">
        <v>18</v>
      </c>
      <c r="B117" s="83">
        <f>IFERROR(INDEX(員警姓名清單,18),"")</f>
        <v/>
      </c>
      <c r="C117" s="86">
        <f>IF(B117="",0,IFERROR(COUNTIFS(Tbl案件[承辦人],B117,Tbl案件[是否破獲],"是",Tbl案件[歸屬年度],(YEAR(今日)-1911)),0))</f>
        <v/>
      </c>
      <c r="D117" s="86">
        <f>IF(B117="",0,IFERROR(COUNTIFS(Tbl案件[承辦人],B117,Tbl案件[案類分類],"竊盜",Tbl案件[是否破獲],"是",Tbl案件[歸屬年度],(YEAR(今日)-1911)),0))</f>
        <v/>
      </c>
      <c r="E117" s="86">
        <f>IF(B117="",0,IFERROR(COUNTIFS(Tbl案件[承辦人],B117,Tbl案件[案類分類],"詐欺",Tbl案件[是否破獲],"是",Tbl案件[歸屬年度],(YEAR(今日)-1911)),0))</f>
        <v/>
      </c>
      <c r="F117" s="86">
        <f>IF(B117="",0,IFERROR(COUNTIFS(Tbl案件[承辦人],B117,Tbl案件[案類分類],"毒品",Tbl案件[是否破獲],"是",Tbl案件[歸屬年度],(YEAR(今日)-1911)),0))</f>
        <v/>
      </c>
      <c r="G117" s="86">
        <f>IF(B117="",0,IFERROR(COUNTIFS(Tbl案件[承辦人],B117,Tbl案件[案類分類],"暴力犯罪",Tbl案件[是否破獲],"是",Tbl案件[歸屬年度],(YEAR(今日)-1911)),0))</f>
        <v/>
      </c>
      <c r="H117" s="86">
        <f>MAX(0,C117-D117-E117-F117-G117)</f>
        <v/>
      </c>
      <c r="I117" s="163">
        <f>IF(B117="",0,C117+18*0.0001)</f>
        <v/>
      </c>
    </row>
    <row r="118" hidden="1">
      <c r="A118" s="86" t="n">
        <v>19</v>
      </c>
      <c r="B118" s="83">
        <f>IFERROR(INDEX(員警姓名清單,19),"")</f>
        <v/>
      </c>
      <c r="C118" s="86">
        <f>IF(B118="",0,IFERROR(COUNTIFS(Tbl案件[承辦人],B118,Tbl案件[是否破獲],"是",Tbl案件[歸屬年度],(YEAR(今日)-1911)),0))</f>
        <v/>
      </c>
      <c r="D118" s="86">
        <f>IF(B118="",0,IFERROR(COUNTIFS(Tbl案件[承辦人],B118,Tbl案件[案類分類],"竊盜",Tbl案件[是否破獲],"是",Tbl案件[歸屬年度],(YEAR(今日)-1911)),0))</f>
        <v/>
      </c>
      <c r="E118" s="86">
        <f>IF(B118="",0,IFERROR(COUNTIFS(Tbl案件[承辦人],B118,Tbl案件[案類分類],"詐欺",Tbl案件[是否破獲],"是",Tbl案件[歸屬年度],(YEAR(今日)-1911)),0))</f>
        <v/>
      </c>
      <c r="F118" s="86">
        <f>IF(B118="",0,IFERROR(COUNTIFS(Tbl案件[承辦人],B118,Tbl案件[案類分類],"毒品",Tbl案件[是否破獲],"是",Tbl案件[歸屬年度],(YEAR(今日)-1911)),0))</f>
        <v/>
      </c>
      <c r="G118" s="86">
        <f>IF(B118="",0,IFERROR(COUNTIFS(Tbl案件[承辦人],B118,Tbl案件[案類分類],"暴力犯罪",Tbl案件[是否破獲],"是",Tbl案件[歸屬年度],(YEAR(今日)-1911)),0))</f>
        <v/>
      </c>
      <c r="H118" s="86">
        <f>MAX(0,C118-D118-E118-F118-G118)</f>
        <v/>
      </c>
      <c r="I118" s="163">
        <f>IF(B118="",0,C118+19*0.0001)</f>
        <v/>
      </c>
    </row>
    <row r="119" hidden="1">
      <c r="A119" s="86" t="n">
        <v>20</v>
      </c>
      <c r="B119" s="83">
        <f>IFERROR(INDEX(員警姓名清單,20),"")</f>
        <v/>
      </c>
      <c r="C119" s="86">
        <f>IF(B119="",0,IFERROR(COUNTIFS(Tbl案件[承辦人],B119,Tbl案件[是否破獲],"是",Tbl案件[歸屬年度],(YEAR(今日)-1911)),0))</f>
        <v/>
      </c>
      <c r="D119" s="86">
        <f>IF(B119="",0,IFERROR(COUNTIFS(Tbl案件[承辦人],B119,Tbl案件[案類分類],"竊盜",Tbl案件[是否破獲],"是",Tbl案件[歸屬年度],(YEAR(今日)-1911)),0))</f>
        <v/>
      </c>
      <c r="E119" s="86">
        <f>IF(B119="",0,IFERROR(COUNTIFS(Tbl案件[承辦人],B119,Tbl案件[案類分類],"詐欺",Tbl案件[是否破獲],"是",Tbl案件[歸屬年度],(YEAR(今日)-1911)),0))</f>
        <v/>
      </c>
      <c r="F119" s="86">
        <f>IF(B119="",0,IFERROR(COUNTIFS(Tbl案件[承辦人],B119,Tbl案件[案類分類],"毒品",Tbl案件[是否破獲],"是",Tbl案件[歸屬年度],(YEAR(今日)-1911)),0))</f>
        <v/>
      </c>
      <c r="G119" s="86">
        <f>IF(B119="",0,IFERROR(COUNTIFS(Tbl案件[承辦人],B119,Tbl案件[案類分類],"暴力犯罪",Tbl案件[是否破獲],"是",Tbl案件[歸屬年度],(YEAR(今日)-1911)),0))</f>
        <v/>
      </c>
      <c r="H119" s="86">
        <f>MAX(0,C119-D119-E119-F119-G119)</f>
        <v/>
      </c>
      <c r="I119" s="163">
        <f>IF(B119="",0,C119+20*0.0001)</f>
        <v/>
      </c>
    </row>
    <row r="120" hidden="1">
      <c r="A120" s="86" t="n">
        <v>21</v>
      </c>
      <c r="B120" s="83">
        <f>IFERROR(INDEX(員警姓名清單,21),"")</f>
        <v/>
      </c>
      <c r="C120" s="86">
        <f>IF(B120="",0,IFERROR(COUNTIFS(Tbl案件[承辦人],B120,Tbl案件[是否破獲],"是",Tbl案件[歸屬年度],(YEAR(今日)-1911)),0))</f>
        <v/>
      </c>
      <c r="D120" s="86">
        <f>IF(B120="",0,IFERROR(COUNTIFS(Tbl案件[承辦人],B120,Tbl案件[案類分類],"竊盜",Tbl案件[是否破獲],"是",Tbl案件[歸屬年度],(YEAR(今日)-1911)),0))</f>
        <v/>
      </c>
      <c r="E120" s="86">
        <f>IF(B120="",0,IFERROR(COUNTIFS(Tbl案件[承辦人],B120,Tbl案件[案類分類],"詐欺",Tbl案件[是否破獲],"是",Tbl案件[歸屬年度],(YEAR(今日)-1911)),0))</f>
        <v/>
      </c>
      <c r="F120" s="86">
        <f>IF(B120="",0,IFERROR(COUNTIFS(Tbl案件[承辦人],B120,Tbl案件[案類分類],"毒品",Tbl案件[是否破獲],"是",Tbl案件[歸屬年度],(YEAR(今日)-1911)),0))</f>
        <v/>
      </c>
      <c r="G120" s="86">
        <f>IF(B120="",0,IFERROR(COUNTIFS(Tbl案件[承辦人],B120,Tbl案件[案類分類],"暴力犯罪",Tbl案件[是否破獲],"是",Tbl案件[歸屬年度],(YEAR(今日)-1911)),0))</f>
        <v/>
      </c>
      <c r="H120" s="86">
        <f>MAX(0,C120-D120-E120-F120-G120)</f>
        <v/>
      </c>
      <c r="I120" s="163">
        <f>IF(B120="",0,C120+21*0.0001)</f>
        <v/>
      </c>
    </row>
    <row r="121" hidden="1">
      <c r="A121" s="86" t="n">
        <v>22</v>
      </c>
      <c r="B121" s="83">
        <f>IFERROR(INDEX(員警姓名清單,22),"")</f>
        <v/>
      </c>
      <c r="C121" s="86">
        <f>IF(B121="",0,IFERROR(COUNTIFS(Tbl案件[承辦人],B121,Tbl案件[是否破獲],"是",Tbl案件[歸屬年度],(YEAR(今日)-1911)),0))</f>
        <v/>
      </c>
      <c r="D121" s="86">
        <f>IF(B121="",0,IFERROR(COUNTIFS(Tbl案件[承辦人],B121,Tbl案件[案類分類],"竊盜",Tbl案件[是否破獲],"是",Tbl案件[歸屬年度],(YEAR(今日)-1911)),0))</f>
        <v/>
      </c>
      <c r="E121" s="86">
        <f>IF(B121="",0,IFERROR(COUNTIFS(Tbl案件[承辦人],B121,Tbl案件[案類分類],"詐欺",Tbl案件[是否破獲],"是",Tbl案件[歸屬年度],(YEAR(今日)-1911)),0))</f>
        <v/>
      </c>
      <c r="F121" s="86">
        <f>IF(B121="",0,IFERROR(COUNTIFS(Tbl案件[承辦人],B121,Tbl案件[案類分類],"毒品",Tbl案件[是否破獲],"是",Tbl案件[歸屬年度],(YEAR(今日)-1911)),0))</f>
        <v/>
      </c>
      <c r="G121" s="86">
        <f>IF(B121="",0,IFERROR(COUNTIFS(Tbl案件[承辦人],B121,Tbl案件[案類分類],"暴力犯罪",Tbl案件[是否破獲],"是",Tbl案件[歸屬年度],(YEAR(今日)-1911)),0))</f>
        <v/>
      </c>
      <c r="H121" s="86">
        <f>MAX(0,C121-D121-E121-F121-G121)</f>
        <v/>
      </c>
      <c r="I121" s="163">
        <f>IF(B121="",0,C121+22*0.0001)</f>
        <v/>
      </c>
    </row>
    <row r="122" hidden="1">
      <c r="A122" s="86" t="n">
        <v>23</v>
      </c>
      <c r="B122" s="83">
        <f>IFERROR(INDEX(員警姓名清單,23),"")</f>
        <v/>
      </c>
      <c r="C122" s="86">
        <f>IF(B122="",0,IFERROR(COUNTIFS(Tbl案件[承辦人],B122,Tbl案件[是否破獲],"是",Tbl案件[歸屬年度],(YEAR(今日)-1911)),0))</f>
        <v/>
      </c>
      <c r="D122" s="86">
        <f>IF(B122="",0,IFERROR(COUNTIFS(Tbl案件[承辦人],B122,Tbl案件[案類分類],"竊盜",Tbl案件[是否破獲],"是",Tbl案件[歸屬年度],(YEAR(今日)-1911)),0))</f>
        <v/>
      </c>
      <c r="E122" s="86">
        <f>IF(B122="",0,IFERROR(COUNTIFS(Tbl案件[承辦人],B122,Tbl案件[案類分類],"詐欺",Tbl案件[是否破獲],"是",Tbl案件[歸屬年度],(YEAR(今日)-1911)),0))</f>
        <v/>
      </c>
      <c r="F122" s="86">
        <f>IF(B122="",0,IFERROR(COUNTIFS(Tbl案件[承辦人],B122,Tbl案件[案類分類],"毒品",Tbl案件[是否破獲],"是",Tbl案件[歸屬年度],(YEAR(今日)-1911)),0))</f>
        <v/>
      </c>
      <c r="G122" s="86">
        <f>IF(B122="",0,IFERROR(COUNTIFS(Tbl案件[承辦人],B122,Tbl案件[案類分類],"暴力犯罪",Tbl案件[是否破獲],"是",Tbl案件[歸屬年度],(YEAR(今日)-1911)),0))</f>
        <v/>
      </c>
      <c r="H122" s="86">
        <f>MAX(0,C122-D122-E122-F122-G122)</f>
        <v/>
      </c>
      <c r="I122" s="163">
        <f>IF(B122="",0,C122+23*0.0001)</f>
        <v/>
      </c>
    </row>
    <row r="123" hidden="1">
      <c r="A123" s="86" t="n">
        <v>24</v>
      </c>
      <c r="B123" s="83">
        <f>IFERROR(INDEX(員警姓名清單,24),"")</f>
        <v/>
      </c>
      <c r="C123" s="86">
        <f>IF(B123="",0,IFERROR(COUNTIFS(Tbl案件[承辦人],B123,Tbl案件[是否破獲],"是",Tbl案件[歸屬年度],(YEAR(今日)-1911)),0))</f>
        <v/>
      </c>
      <c r="D123" s="86">
        <f>IF(B123="",0,IFERROR(COUNTIFS(Tbl案件[承辦人],B123,Tbl案件[案類分類],"竊盜",Tbl案件[是否破獲],"是",Tbl案件[歸屬年度],(YEAR(今日)-1911)),0))</f>
        <v/>
      </c>
      <c r="E123" s="86">
        <f>IF(B123="",0,IFERROR(COUNTIFS(Tbl案件[承辦人],B123,Tbl案件[案類分類],"詐欺",Tbl案件[是否破獲],"是",Tbl案件[歸屬年度],(YEAR(今日)-1911)),0))</f>
        <v/>
      </c>
      <c r="F123" s="86">
        <f>IF(B123="",0,IFERROR(COUNTIFS(Tbl案件[承辦人],B123,Tbl案件[案類分類],"毒品",Tbl案件[是否破獲],"是",Tbl案件[歸屬年度],(YEAR(今日)-1911)),0))</f>
        <v/>
      </c>
      <c r="G123" s="86">
        <f>IF(B123="",0,IFERROR(COUNTIFS(Tbl案件[承辦人],B123,Tbl案件[案類分類],"暴力犯罪",Tbl案件[是否破獲],"是",Tbl案件[歸屬年度],(YEAR(今日)-1911)),0))</f>
        <v/>
      </c>
      <c r="H123" s="86">
        <f>MAX(0,C123-D123-E123-F123-G123)</f>
        <v/>
      </c>
      <c r="I123" s="163">
        <f>IF(B123="",0,C123+24*0.0001)</f>
        <v/>
      </c>
    </row>
    <row r="124" hidden="1">
      <c r="A124" s="86" t="n">
        <v>25</v>
      </c>
      <c r="B124" s="83">
        <f>IFERROR(INDEX(員警姓名清單,25),"")</f>
        <v/>
      </c>
      <c r="C124" s="86">
        <f>IF(B124="",0,IFERROR(COUNTIFS(Tbl案件[承辦人],B124,Tbl案件[是否破獲],"是",Tbl案件[歸屬年度],(YEAR(今日)-1911)),0))</f>
        <v/>
      </c>
      <c r="D124" s="86">
        <f>IF(B124="",0,IFERROR(COUNTIFS(Tbl案件[承辦人],B124,Tbl案件[案類分類],"竊盜",Tbl案件[是否破獲],"是",Tbl案件[歸屬年度],(YEAR(今日)-1911)),0))</f>
        <v/>
      </c>
      <c r="E124" s="86">
        <f>IF(B124="",0,IFERROR(COUNTIFS(Tbl案件[承辦人],B124,Tbl案件[案類分類],"詐欺",Tbl案件[是否破獲],"是",Tbl案件[歸屬年度],(YEAR(今日)-1911)),0))</f>
        <v/>
      </c>
      <c r="F124" s="86">
        <f>IF(B124="",0,IFERROR(COUNTIFS(Tbl案件[承辦人],B124,Tbl案件[案類分類],"毒品",Tbl案件[是否破獲],"是",Tbl案件[歸屬年度],(YEAR(今日)-1911)),0))</f>
        <v/>
      </c>
      <c r="G124" s="86">
        <f>IF(B124="",0,IFERROR(COUNTIFS(Tbl案件[承辦人],B124,Tbl案件[案類分類],"暴力犯罪",Tbl案件[是否破獲],"是",Tbl案件[歸屬年度],(YEAR(今日)-1911)),0))</f>
        <v/>
      </c>
      <c r="H124" s="86">
        <f>MAX(0,C124-D124-E124-F124-G124)</f>
        <v/>
      </c>
      <c r="I124" s="163">
        <f>IF(B124="",0,C124+25*0.0001)</f>
        <v/>
      </c>
    </row>
    <row r="125" hidden="1">
      <c r="A125" s="86" t="n">
        <v>26</v>
      </c>
      <c r="B125" s="83">
        <f>IFERROR(INDEX(員警姓名清單,26),"")</f>
        <v/>
      </c>
      <c r="C125" s="86">
        <f>IF(B125="",0,IFERROR(COUNTIFS(Tbl案件[承辦人],B125,Tbl案件[是否破獲],"是",Tbl案件[歸屬年度],(YEAR(今日)-1911)),0))</f>
        <v/>
      </c>
      <c r="D125" s="86">
        <f>IF(B125="",0,IFERROR(COUNTIFS(Tbl案件[承辦人],B125,Tbl案件[案類分類],"竊盜",Tbl案件[是否破獲],"是",Tbl案件[歸屬年度],(YEAR(今日)-1911)),0))</f>
        <v/>
      </c>
      <c r="E125" s="86">
        <f>IF(B125="",0,IFERROR(COUNTIFS(Tbl案件[承辦人],B125,Tbl案件[案類分類],"詐欺",Tbl案件[是否破獲],"是",Tbl案件[歸屬年度],(YEAR(今日)-1911)),0))</f>
        <v/>
      </c>
      <c r="F125" s="86">
        <f>IF(B125="",0,IFERROR(COUNTIFS(Tbl案件[承辦人],B125,Tbl案件[案類分類],"毒品",Tbl案件[是否破獲],"是",Tbl案件[歸屬年度],(YEAR(今日)-1911)),0))</f>
        <v/>
      </c>
      <c r="G125" s="86">
        <f>IF(B125="",0,IFERROR(COUNTIFS(Tbl案件[承辦人],B125,Tbl案件[案類分類],"暴力犯罪",Tbl案件[是否破獲],"是",Tbl案件[歸屬年度],(YEAR(今日)-1911)),0))</f>
        <v/>
      </c>
      <c r="H125" s="86">
        <f>MAX(0,C125-D125-E125-F125-G125)</f>
        <v/>
      </c>
      <c r="I125" s="163">
        <f>IF(B125="",0,C125+26*0.0001)</f>
        <v/>
      </c>
    </row>
    <row r="126" hidden="1">
      <c r="A126" s="86" t="n">
        <v>27</v>
      </c>
      <c r="B126" s="83">
        <f>IFERROR(INDEX(員警姓名清單,27),"")</f>
        <v/>
      </c>
      <c r="C126" s="86">
        <f>IF(B126="",0,IFERROR(COUNTIFS(Tbl案件[承辦人],B126,Tbl案件[是否破獲],"是",Tbl案件[歸屬年度],(YEAR(今日)-1911)),0))</f>
        <v/>
      </c>
      <c r="D126" s="86">
        <f>IF(B126="",0,IFERROR(COUNTIFS(Tbl案件[承辦人],B126,Tbl案件[案類分類],"竊盜",Tbl案件[是否破獲],"是",Tbl案件[歸屬年度],(YEAR(今日)-1911)),0))</f>
        <v/>
      </c>
      <c r="E126" s="86">
        <f>IF(B126="",0,IFERROR(COUNTIFS(Tbl案件[承辦人],B126,Tbl案件[案類分類],"詐欺",Tbl案件[是否破獲],"是",Tbl案件[歸屬年度],(YEAR(今日)-1911)),0))</f>
        <v/>
      </c>
      <c r="F126" s="86">
        <f>IF(B126="",0,IFERROR(COUNTIFS(Tbl案件[承辦人],B126,Tbl案件[案類分類],"毒品",Tbl案件[是否破獲],"是",Tbl案件[歸屬年度],(YEAR(今日)-1911)),0))</f>
        <v/>
      </c>
      <c r="G126" s="86">
        <f>IF(B126="",0,IFERROR(COUNTIFS(Tbl案件[承辦人],B126,Tbl案件[案類分類],"暴力犯罪",Tbl案件[是否破獲],"是",Tbl案件[歸屬年度],(YEAR(今日)-1911)),0))</f>
        <v/>
      </c>
      <c r="H126" s="86">
        <f>MAX(0,C126-D126-E126-F126-G126)</f>
        <v/>
      </c>
      <c r="I126" s="163">
        <f>IF(B126="",0,C126+27*0.0001)</f>
        <v/>
      </c>
    </row>
    <row r="127" hidden="1">
      <c r="A127" s="86" t="n">
        <v>28</v>
      </c>
      <c r="B127" s="83">
        <f>IFERROR(INDEX(員警姓名清單,28),"")</f>
        <v/>
      </c>
      <c r="C127" s="86">
        <f>IF(B127="",0,IFERROR(COUNTIFS(Tbl案件[承辦人],B127,Tbl案件[是否破獲],"是",Tbl案件[歸屬年度],(YEAR(今日)-1911)),0))</f>
        <v/>
      </c>
      <c r="D127" s="86">
        <f>IF(B127="",0,IFERROR(COUNTIFS(Tbl案件[承辦人],B127,Tbl案件[案類分類],"竊盜",Tbl案件[是否破獲],"是",Tbl案件[歸屬年度],(YEAR(今日)-1911)),0))</f>
        <v/>
      </c>
      <c r="E127" s="86">
        <f>IF(B127="",0,IFERROR(COUNTIFS(Tbl案件[承辦人],B127,Tbl案件[案類分類],"詐欺",Tbl案件[是否破獲],"是",Tbl案件[歸屬年度],(YEAR(今日)-1911)),0))</f>
        <v/>
      </c>
      <c r="F127" s="86">
        <f>IF(B127="",0,IFERROR(COUNTIFS(Tbl案件[承辦人],B127,Tbl案件[案類分類],"毒品",Tbl案件[是否破獲],"是",Tbl案件[歸屬年度],(YEAR(今日)-1911)),0))</f>
        <v/>
      </c>
      <c r="G127" s="86">
        <f>IF(B127="",0,IFERROR(COUNTIFS(Tbl案件[承辦人],B127,Tbl案件[案類分類],"暴力犯罪",Tbl案件[是否破獲],"是",Tbl案件[歸屬年度],(YEAR(今日)-1911)),0))</f>
        <v/>
      </c>
      <c r="H127" s="86">
        <f>MAX(0,C127-D127-E127-F127-G127)</f>
        <v/>
      </c>
      <c r="I127" s="163">
        <f>IF(B127="",0,C127+28*0.0001)</f>
        <v/>
      </c>
    </row>
    <row r="128" hidden="1">
      <c r="A128" s="86" t="n">
        <v>29</v>
      </c>
      <c r="B128" s="83">
        <f>IFERROR(INDEX(員警姓名清單,29),"")</f>
        <v/>
      </c>
      <c r="C128" s="86">
        <f>IF(B128="",0,IFERROR(COUNTIFS(Tbl案件[承辦人],B128,Tbl案件[是否破獲],"是",Tbl案件[歸屬年度],(YEAR(今日)-1911)),0))</f>
        <v/>
      </c>
      <c r="D128" s="86">
        <f>IF(B128="",0,IFERROR(COUNTIFS(Tbl案件[承辦人],B128,Tbl案件[案類分類],"竊盜",Tbl案件[是否破獲],"是",Tbl案件[歸屬年度],(YEAR(今日)-1911)),0))</f>
        <v/>
      </c>
      <c r="E128" s="86">
        <f>IF(B128="",0,IFERROR(COUNTIFS(Tbl案件[承辦人],B128,Tbl案件[案類分類],"詐欺",Tbl案件[是否破獲],"是",Tbl案件[歸屬年度],(YEAR(今日)-1911)),0))</f>
        <v/>
      </c>
      <c r="F128" s="86">
        <f>IF(B128="",0,IFERROR(COUNTIFS(Tbl案件[承辦人],B128,Tbl案件[案類分類],"毒品",Tbl案件[是否破獲],"是",Tbl案件[歸屬年度],(YEAR(今日)-1911)),0))</f>
        <v/>
      </c>
      <c r="G128" s="86">
        <f>IF(B128="",0,IFERROR(COUNTIFS(Tbl案件[承辦人],B128,Tbl案件[案類分類],"暴力犯罪",Tbl案件[是否破獲],"是",Tbl案件[歸屬年度],(YEAR(今日)-1911)),0))</f>
        <v/>
      </c>
      <c r="H128" s="86">
        <f>MAX(0,C128-D128-E128-F128-G128)</f>
        <v/>
      </c>
      <c r="I128" s="163">
        <f>IF(B128="",0,C128+29*0.0001)</f>
        <v/>
      </c>
    </row>
    <row r="129" hidden="1">
      <c r="A129" s="86" t="n">
        <v>30</v>
      </c>
      <c r="B129" s="83">
        <f>IFERROR(INDEX(員警姓名清單,30),"")</f>
        <v/>
      </c>
      <c r="C129" s="86">
        <f>IF(B129="",0,IFERROR(COUNTIFS(Tbl案件[承辦人],B129,Tbl案件[是否破獲],"是",Tbl案件[歸屬年度],(YEAR(今日)-1911)),0))</f>
        <v/>
      </c>
      <c r="D129" s="86">
        <f>IF(B129="",0,IFERROR(COUNTIFS(Tbl案件[承辦人],B129,Tbl案件[案類分類],"竊盜",Tbl案件[是否破獲],"是",Tbl案件[歸屬年度],(YEAR(今日)-1911)),0))</f>
        <v/>
      </c>
      <c r="E129" s="86">
        <f>IF(B129="",0,IFERROR(COUNTIFS(Tbl案件[承辦人],B129,Tbl案件[案類分類],"詐欺",Tbl案件[是否破獲],"是",Tbl案件[歸屬年度],(YEAR(今日)-1911)),0))</f>
        <v/>
      </c>
      <c r="F129" s="86">
        <f>IF(B129="",0,IFERROR(COUNTIFS(Tbl案件[承辦人],B129,Tbl案件[案類分類],"毒品",Tbl案件[是否破獲],"是",Tbl案件[歸屬年度],(YEAR(今日)-1911)),0))</f>
        <v/>
      </c>
      <c r="G129" s="86">
        <f>IF(B129="",0,IFERROR(COUNTIFS(Tbl案件[承辦人],B129,Tbl案件[案類分類],"暴力犯罪",Tbl案件[是否破獲],"是",Tbl案件[歸屬年度],(YEAR(今日)-1911)),0))</f>
        <v/>
      </c>
      <c r="H129" s="86">
        <f>MAX(0,C129-D129-E129-F129-G129)</f>
        <v/>
      </c>
      <c r="I129" s="163">
        <f>IF(B129="",0,C129+30*0.0001)</f>
        <v/>
      </c>
    </row>
    <row r="130" hidden="1">
      <c r="A130" s="86" t="n">
        <v>31</v>
      </c>
      <c r="B130" s="83">
        <f>IFERROR(INDEX(員警姓名清單,31),"")</f>
        <v/>
      </c>
      <c r="C130" s="86">
        <f>IF(B130="",0,IFERROR(COUNTIFS(Tbl案件[承辦人],B130,Tbl案件[是否破獲],"是",Tbl案件[歸屬年度],(YEAR(今日)-1911)),0))</f>
        <v/>
      </c>
      <c r="D130" s="86">
        <f>IF(B130="",0,IFERROR(COUNTIFS(Tbl案件[承辦人],B130,Tbl案件[案類分類],"竊盜",Tbl案件[是否破獲],"是",Tbl案件[歸屬年度],(YEAR(今日)-1911)),0))</f>
        <v/>
      </c>
      <c r="E130" s="86">
        <f>IF(B130="",0,IFERROR(COUNTIFS(Tbl案件[承辦人],B130,Tbl案件[案類分類],"詐欺",Tbl案件[是否破獲],"是",Tbl案件[歸屬年度],(YEAR(今日)-1911)),0))</f>
        <v/>
      </c>
      <c r="F130" s="86">
        <f>IF(B130="",0,IFERROR(COUNTIFS(Tbl案件[承辦人],B130,Tbl案件[案類分類],"毒品",Tbl案件[是否破獲],"是",Tbl案件[歸屬年度],(YEAR(今日)-1911)),0))</f>
        <v/>
      </c>
      <c r="G130" s="86">
        <f>IF(B130="",0,IFERROR(COUNTIFS(Tbl案件[承辦人],B130,Tbl案件[案類分類],"暴力犯罪",Tbl案件[是否破獲],"是",Tbl案件[歸屬年度],(YEAR(今日)-1911)),0))</f>
        <v/>
      </c>
      <c r="H130" s="86">
        <f>MAX(0,C130-D130-E130-F130-G130)</f>
        <v/>
      </c>
      <c r="I130" s="163">
        <f>IF(B130="",0,C130+31*0.0001)</f>
        <v/>
      </c>
    </row>
    <row r="131" hidden="1">
      <c r="A131" s="86" t="n">
        <v>32</v>
      </c>
      <c r="B131" s="83">
        <f>IFERROR(INDEX(員警姓名清單,32),"")</f>
        <v/>
      </c>
      <c r="C131" s="86">
        <f>IF(B131="",0,IFERROR(COUNTIFS(Tbl案件[承辦人],B131,Tbl案件[是否破獲],"是",Tbl案件[歸屬年度],(YEAR(今日)-1911)),0))</f>
        <v/>
      </c>
      <c r="D131" s="86">
        <f>IF(B131="",0,IFERROR(COUNTIFS(Tbl案件[承辦人],B131,Tbl案件[案類分類],"竊盜",Tbl案件[是否破獲],"是",Tbl案件[歸屬年度],(YEAR(今日)-1911)),0))</f>
        <v/>
      </c>
      <c r="E131" s="86">
        <f>IF(B131="",0,IFERROR(COUNTIFS(Tbl案件[承辦人],B131,Tbl案件[案類分類],"詐欺",Tbl案件[是否破獲],"是",Tbl案件[歸屬年度],(YEAR(今日)-1911)),0))</f>
        <v/>
      </c>
      <c r="F131" s="86">
        <f>IF(B131="",0,IFERROR(COUNTIFS(Tbl案件[承辦人],B131,Tbl案件[案類分類],"毒品",Tbl案件[是否破獲],"是",Tbl案件[歸屬年度],(YEAR(今日)-1911)),0))</f>
        <v/>
      </c>
      <c r="G131" s="86">
        <f>IF(B131="",0,IFERROR(COUNTIFS(Tbl案件[承辦人],B131,Tbl案件[案類分類],"暴力犯罪",Tbl案件[是否破獲],"是",Tbl案件[歸屬年度],(YEAR(今日)-1911)),0))</f>
        <v/>
      </c>
      <c r="H131" s="86">
        <f>MAX(0,C131-D131-E131-F131-G131)</f>
        <v/>
      </c>
      <c r="I131" s="163">
        <f>IF(B131="",0,C131+32*0.0001)</f>
        <v/>
      </c>
    </row>
    <row r="132" hidden="1">
      <c r="A132" s="86" t="n">
        <v>33</v>
      </c>
      <c r="B132" s="83">
        <f>IFERROR(INDEX(員警姓名清單,33),"")</f>
        <v/>
      </c>
      <c r="C132" s="86">
        <f>IF(B132="",0,IFERROR(COUNTIFS(Tbl案件[承辦人],B132,Tbl案件[是否破獲],"是",Tbl案件[歸屬年度],(YEAR(今日)-1911)),0))</f>
        <v/>
      </c>
      <c r="D132" s="86">
        <f>IF(B132="",0,IFERROR(COUNTIFS(Tbl案件[承辦人],B132,Tbl案件[案類分類],"竊盜",Tbl案件[是否破獲],"是",Tbl案件[歸屬年度],(YEAR(今日)-1911)),0))</f>
        <v/>
      </c>
      <c r="E132" s="86">
        <f>IF(B132="",0,IFERROR(COUNTIFS(Tbl案件[承辦人],B132,Tbl案件[案類分類],"詐欺",Tbl案件[是否破獲],"是",Tbl案件[歸屬年度],(YEAR(今日)-1911)),0))</f>
        <v/>
      </c>
      <c r="F132" s="86">
        <f>IF(B132="",0,IFERROR(COUNTIFS(Tbl案件[承辦人],B132,Tbl案件[案類分類],"毒品",Tbl案件[是否破獲],"是",Tbl案件[歸屬年度],(YEAR(今日)-1911)),0))</f>
        <v/>
      </c>
      <c r="G132" s="86">
        <f>IF(B132="",0,IFERROR(COUNTIFS(Tbl案件[承辦人],B132,Tbl案件[案類分類],"暴力犯罪",Tbl案件[是否破獲],"是",Tbl案件[歸屬年度],(YEAR(今日)-1911)),0))</f>
        <v/>
      </c>
      <c r="H132" s="86">
        <f>MAX(0,C132-D132-E132-F132-G132)</f>
        <v/>
      </c>
      <c r="I132" s="163">
        <f>IF(B132="",0,C132+33*0.0001)</f>
        <v/>
      </c>
    </row>
    <row r="133" hidden="1">
      <c r="A133" s="86" t="n">
        <v>34</v>
      </c>
      <c r="B133" s="83">
        <f>IFERROR(INDEX(員警姓名清單,34),"")</f>
        <v/>
      </c>
      <c r="C133" s="86">
        <f>IF(B133="",0,IFERROR(COUNTIFS(Tbl案件[承辦人],B133,Tbl案件[是否破獲],"是",Tbl案件[歸屬年度],(YEAR(今日)-1911)),0))</f>
        <v/>
      </c>
      <c r="D133" s="86">
        <f>IF(B133="",0,IFERROR(COUNTIFS(Tbl案件[承辦人],B133,Tbl案件[案類分類],"竊盜",Tbl案件[是否破獲],"是",Tbl案件[歸屬年度],(YEAR(今日)-1911)),0))</f>
        <v/>
      </c>
      <c r="E133" s="86">
        <f>IF(B133="",0,IFERROR(COUNTIFS(Tbl案件[承辦人],B133,Tbl案件[案類分類],"詐欺",Tbl案件[是否破獲],"是",Tbl案件[歸屬年度],(YEAR(今日)-1911)),0))</f>
        <v/>
      </c>
      <c r="F133" s="86">
        <f>IF(B133="",0,IFERROR(COUNTIFS(Tbl案件[承辦人],B133,Tbl案件[案類分類],"毒品",Tbl案件[是否破獲],"是",Tbl案件[歸屬年度],(YEAR(今日)-1911)),0))</f>
        <v/>
      </c>
      <c r="G133" s="86">
        <f>IF(B133="",0,IFERROR(COUNTIFS(Tbl案件[承辦人],B133,Tbl案件[案類分類],"暴力犯罪",Tbl案件[是否破獲],"是",Tbl案件[歸屬年度],(YEAR(今日)-1911)),0))</f>
        <v/>
      </c>
      <c r="H133" s="86">
        <f>MAX(0,C133-D133-E133-F133-G133)</f>
        <v/>
      </c>
      <c r="I133" s="163">
        <f>IF(B133="",0,C133+34*0.0001)</f>
        <v/>
      </c>
    </row>
    <row r="134" hidden="1">
      <c r="A134" s="86" t="n">
        <v>35</v>
      </c>
      <c r="B134" s="83">
        <f>IFERROR(INDEX(員警姓名清單,35),"")</f>
        <v/>
      </c>
      <c r="C134" s="86">
        <f>IF(B134="",0,IFERROR(COUNTIFS(Tbl案件[承辦人],B134,Tbl案件[是否破獲],"是",Tbl案件[歸屬年度],(YEAR(今日)-1911)),0))</f>
        <v/>
      </c>
      <c r="D134" s="86">
        <f>IF(B134="",0,IFERROR(COUNTIFS(Tbl案件[承辦人],B134,Tbl案件[案類分類],"竊盜",Tbl案件[是否破獲],"是",Tbl案件[歸屬年度],(YEAR(今日)-1911)),0))</f>
        <v/>
      </c>
      <c r="E134" s="86">
        <f>IF(B134="",0,IFERROR(COUNTIFS(Tbl案件[承辦人],B134,Tbl案件[案類分類],"詐欺",Tbl案件[是否破獲],"是",Tbl案件[歸屬年度],(YEAR(今日)-1911)),0))</f>
        <v/>
      </c>
      <c r="F134" s="86">
        <f>IF(B134="",0,IFERROR(COUNTIFS(Tbl案件[承辦人],B134,Tbl案件[案類分類],"毒品",Tbl案件[是否破獲],"是",Tbl案件[歸屬年度],(YEAR(今日)-1911)),0))</f>
        <v/>
      </c>
      <c r="G134" s="86">
        <f>IF(B134="",0,IFERROR(COUNTIFS(Tbl案件[承辦人],B134,Tbl案件[案類分類],"暴力犯罪",Tbl案件[是否破獲],"是",Tbl案件[歸屬年度],(YEAR(今日)-1911)),0))</f>
        <v/>
      </c>
      <c r="H134" s="86">
        <f>MAX(0,C134-D134-E134-F134-G134)</f>
        <v/>
      </c>
      <c r="I134" s="163">
        <f>IF(B134="",0,C134+35*0.0001)</f>
        <v/>
      </c>
    </row>
    <row r="135" hidden="1">
      <c r="A135" s="86" t="n">
        <v>36</v>
      </c>
      <c r="B135" s="83">
        <f>IFERROR(INDEX(員警姓名清單,36),"")</f>
        <v/>
      </c>
      <c r="C135" s="86">
        <f>IF(B135="",0,IFERROR(COUNTIFS(Tbl案件[承辦人],B135,Tbl案件[是否破獲],"是",Tbl案件[歸屬年度],(YEAR(今日)-1911)),0))</f>
        <v/>
      </c>
      <c r="D135" s="86">
        <f>IF(B135="",0,IFERROR(COUNTIFS(Tbl案件[承辦人],B135,Tbl案件[案類分類],"竊盜",Tbl案件[是否破獲],"是",Tbl案件[歸屬年度],(YEAR(今日)-1911)),0))</f>
        <v/>
      </c>
      <c r="E135" s="86">
        <f>IF(B135="",0,IFERROR(COUNTIFS(Tbl案件[承辦人],B135,Tbl案件[案類分類],"詐欺",Tbl案件[是否破獲],"是",Tbl案件[歸屬年度],(YEAR(今日)-1911)),0))</f>
        <v/>
      </c>
      <c r="F135" s="86">
        <f>IF(B135="",0,IFERROR(COUNTIFS(Tbl案件[承辦人],B135,Tbl案件[案類分類],"毒品",Tbl案件[是否破獲],"是",Tbl案件[歸屬年度],(YEAR(今日)-1911)),0))</f>
        <v/>
      </c>
      <c r="G135" s="86">
        <f>IF(B135="",0,IFERROR(COUNTIFS(Tbl案件[承辦人],B135,Tbl案件[案類分類],"暴力犯罪",Tbl案件[是否破獲],"是",Tbl案件[歸屬年度],(YEAR(今日)-1911)),0))</f>
        <v/>
      </c>
      <c r="H135" s="86">
        <f>MAX(0,C135-D135-E135-F135-G135)</f>
        <v/>
      </c>
      <c r="I135" s="163">
        <f>IF(B135="",0,C135+36*0.0001)</f>
        <v/>
      </c>
    </row>
    <row r="136" hidden="1">
      <c r="A136" s="86" t="n">
        <v>37</v>
      </c>
      <c r="B136" s="83">
        <f>IFERROR(INDEX(員警姓名清單,37),"")</f>
        <v/>
      </c>
      <c r="C136" s="86">
        <f>IF(B136="",0,IFERROR(COUNTIFS(Tbl案件[承辦人],B136,Tbl案件[是否破獲],"是",Tbl案件[歸屬年度],(YEAR(今日)-1911)),0))</f>
        <v/>
      </c>
      <c r="D136" s="86">
        <f>IF(B136="",0,IFERROR(COUNTIFS(Tbl案件[承辦人],B136,Tbl案件[案類分類],"竊盜",Tbl案件[是否破獲],"是",Tbl案件[歸屬年度],(YEAR(今日)-1911)),0))</f>
        <v/>
      </c>
      <c r="E136" s="86">
        <f>IF(B136="",0,IFERROR(COUNTIFS(Tbl案件[承辦人],B136,Tbl案件[案類分類],"詐欺",Tbl案件[是否破獲],"是",Tbl案件[歸屬年度],(YEAR(今日)-1911)),0))</f>
        <v/>
      </c>
      <c r="F136" s="86">
        <f>IF(B136="",0,IFERROR(COUNTIFS(Tbl案件[承辦人],B136,Tbl案件[案類分類],"毒品",Tbl案件[是否破獲],"是",Tbl案件[歸屬年度],(YEAR(今日)-1911)),0))</f>
        <v/>
      </c>
      <c r="G136" s="86">
        <f>IF(B136="",0,IFERROR(COUNTIFS(Tbl案件[承辦人],B136,Tbl案件[案類分類],"暴力犯罪",Tbl案件[是否破獲],"是",Tbl案件[歸屬年度],(YEAR(今日)-1911)),0))</f>
        <v/>
      </c>
      <c r="H136" s="86">
        <f>MAX(0,C136-D136-E136-F136-G136)</f>
        <v/>
      </c>
      <c r="I136" s="163">
        <f>IF(B136="",0,C136+37*0.0001)</f>
        <v/>
      </c>
    </row>
    <row r="137" hidden="1">
      <c r="A137" s="86" t="n">
        <v>38</v>
      </c>
      <c r="B137" s="83">
        <f>IFERROR(INDEX(員警姓名清單,38),"")</f>
        <v/>
      </c>
      <c r="C137" s="86">
        <f>IF(B137="",0,IFERROR(COUNTIFS(Tbl案件[承辦人],B137,Tbl案件[是否破獲],"是",Tbl案件[歸屬年度],(YEAR(今日)-1911)),0))</f>
        <v/>
      </c>
      <c r="D137" s="86">
        <f>IF(B137="",0,IFERROR(COUNTIFS(Tbl案件[承辦人],B137,Tbl案件[案類分類],"竊盜",Tbl案件[是否破獲],"是",Tbl案件[歸屬年度],(YEAR(今日)-1911)),0))</f>
        <v/>
      </c>
      <c r="E137" s="86">
        <f>IF(B137="",0,IFERROR(COUNTIFS(Tbl案件[承辦人],B137,Tbl案件[案類分類],"詐欺",Tbl案件[是否破獲],"是",Tbl案件[歸屬年度],(YEAR(今日)-1911)),0))</f>
        <v/>
      </c>
      <c r="F137" s="86">
        <f>IF(B137="",0,IFERROR(COUNTIFS(Tbl案件[承辦人],B137,Tbl案件[案類分類],"毒品",Tbl案件[是否破獲],"是",Tbl案件[歸屬年度],(YEAR(今日)-1911)),0))</f>
        <v/>
      </c>
      <c r="G137" s="86">
        <f>IF(B137="",0,IFERROR(COUNTIFS(Tbl案件[承辦人],B137,Tbl案件[案類分類],"暴力犯罪",Tbl案件[是否破獲],"是",Tbl案件[歸屬年度],(YEAR(今日)-1911)),0))</f>
        <v/>
      </c>
      <c r="H137" s="86">
        <f>MAX(0,C137-D137-E137-F137-G137)</f>
        <v/>
      </c>
      <c r="I137" s="163">
        <f>IF(B137="",0,C137+38*0.0001)</f>
        <v/>
      </c>
    </row>
    <row r="138" hidden="1">
      <c r="A138" s="86" t="n">
        <v>39</v>
      </c>
      <c r="B138" s="83">
        <f>IFERROR(INDEX(員警姓名清單,39),"")</f>
        <v/>
      </c>
      <c r="C138" s="86">
        <f>IF(B138="",0,IFERROR(COUNTIFS(Tbl案件[承辦人],B138,Tbl案件[是否破獲],"是",Tbl案件[歸屬年度],(YEAR(今日)-1911)),0))</f>
        <v/>
      </c>
      <c r="D138" s="86">
        <f>IF(B138="",0,IFERROR(COUNTIFS(Tbl案件[承辦人],B138,Tbl案件[案類分類],"竊盜",Tbl案件[是否破獲],"是",Tbl案件[歸屬年度],(YEAR(今日)-1911)),0))</f>
        <v/>
      </c>
      <c r="E138" s="86">
        <f>IF(B138="",0,IFERROR(COUNTIFS(Tbl案件[承辦人],B138,Tbl案件[案類分類],"詐欺",Tbl案件[是否破獲],"是",Tbl案件[歸屬年度],(YEAR(今日)-1911)),0))</f>
        <v/>
      </c>
      <c r="F138" s="86">
        <f>IF(B138="",0,IFERROR(COUNTIFS(Tbl案件[承辦人],B138,Tbl案件[案類分類],"毒品",Tbl案件[是否破獲],"是",Tbl案件[歸屬年度],(YEAR(今日)-1911)),0))</f>
        <v/>
      </c>
      <c r="G138" s="86">
        <f>IF(B138="",0,IFERROR(COUNTIFS(Tbl案件[承辦人],B138,Tbl案件[案類分類],"暴力犯罪",Tbl案件[是否破獲],"是",Tbl案件[歸屬年度],(YEAR(今日)-1911)),0))</f>
        <v/>
      </c>
      <c r="H138" s="86">
        <f>MAX(0,C138-D138-E138-F138-G138)</f>
        <v/>
      </c>
      <c r="I138" s="163">
        <f>IF(B138="",0,C138+39*0.0001)</f>
        <v/>
      </c>
    </row>
    <row r="139" hidden="1">
      <c r="A139" s="86" t="n">
        <v>40</v>
      </c>
      <c r="B139" s="83">
        <f>IFERROR(INDEX(員警姓名清單,40),"")</f>
        <v/>
      </c>
      <c r="C139" s="86">
        <f>IF(B139="",0,IFERROR(COUNTIFS(Tbl案件[承辦人],B139,Tbl案件[是否破獲],"是",Tbl案件[歸屬年度],(YEAR(今日)-1911)),0))</f>
        <v/>
      </c>
      <c r="D139" s="86">
        <f>IF(B139="",0,IFERROR(COUNTIFS(Tbl案件[承辦人],B139,Tbl案件[案類分類],"竊盜",Tbl案件[是否破獲],"是",Tbl案件[歸屬年度],(YEAR(今日)-1911)),0))</f>
        <v/>
      </c>
      <c r="E139" s="86">
        <f>IF(B139="",0,IFERROR(COUNTIFS(Tbl案件[承辦人],B139,Tbl案件[案類分類],"詐欺",Tbl案件[是否破獲],"是",Tbl案件[歸屬年度],(YEAR(今日)-1911)),0))</f>
        <v/>
      </c>
      <c r="F139" s="86">
        <f>IF(B139="",0,IFERROR(COUNTIFS(Tbl案件[承辦人],B139,Tbl案件[案類分類],"毒品",Tbl案件[是否破獲],"是",Tbl案件[歸屬年度],(YEAR(今日)-1911)),0))</f>
        <v/>
      </c>
      <c r="G139" s="86">
        <f>IF(B139="",0,IFERROR(COUNTIFS(Tbl案件[承辦人],B139,Tbl案件[案類分類],"暴力犯罪",Tbl案件[是否破獲],"是",Tbl案件[歸屬年度],(YEAR(今日)-1911)),0))</f>
        <v/>
      </c>
      <c r="H139" s="86">
        <f>MAX(0,C139-D139-E139-F139-G139)</f>
        <v/>
      </c>
      <c r="I139" s="163">
        <f>IF(B139="",0,C139+40*0.0001)</f>
        <v/>
      </c>
    </row>
    <row r="140" hidden="1">
      <c r="A140" s="86" t="n">
        <v>41</v>
      </c>
      <c r="B140" s="83">
        <f>IFERROR(INDEX(員警姓名清單,41),"")</f>
        <v/>
      </c>
      <c r="C140" s="86">
        <f>IF(B140="",0,IFERROR(COUNTIFS(Tbl案件[承辦人],B140,Tbl案件[是否破獲],"是",Tbl案件[歸屬年度],(YEAR(今日)-1911)),0))</f>
        <v/>
      </c>
      <c r="D140" s="86">
        <f>IF(B140="",0,IFERROR(COUNTIFS(Tbl案件[承辦人],B140,Tbl案件[案類分類],"竊盜",Tbl案件[是否破獲],"是",Tbl案件[歸屬年度],(YEAR(今日)-1911)),0))</f>
        <v/>
      </c>
      <c r="E140" s="86">
        <f>IF(B140="",0,IFERROR(COUNTIFS(Tbl案件[承辦人],B140,Tbl案件[案類分類],"詐欺",Tbl案件[是否破獲],"是",Tbl案件[歸屬年度],(YEAR(今日)-1911)),0))</f>
        <v/>
      </c>
      <c r="F140" s="86">
        <f>IF(B140="",0,IFERROR(COUNTIFS(Tbl案件[承辦人],B140,Tbl案件[案類分類],"毒品",Tbl案件[是否破獲],"是",Tbl案件[歸屬年度],(YEAR(今日)-1911)),0))</f>
        <v/>
      </c>
      <c r="G140" s="86">
        <f>IF(B140="",0,IFERROR(COUNTIFS(Tbl案件[承辦人],B140,Tbl案件[案類分類],"暴力犯罪",Tbl案件[是否破獲],"是",Tbl案件[歸屬年度],(YEAR(今日)-1911)),0))</f>
        <v/>
      </c>
      <c r="H140" s="86">
        <f>MAX(0,C140-D140-E140-F140-G140)</f>
        <v/>
      </c>
      <c r="I140" s="163">
        <f>IF(B140="",0,C140+41*0.0001)</f>
        <v/>
      </c>
    </row>
    <row r="141" hidden="1">
      <c r="A141" s="86" t="n">
        <v>42</v>
      </c>
      <c r="B141" s="83">
        <f>IFERROR(INDEX(員警姓名清單,42),"")</f>
        <v/>
      </c>
      <c r="C141" s="86">
        <f>IF(B141="",0,IFERROR(COUNTIFS(Tbl案件[承辦人],B141,Tbl案件[是否破獲],"是",Tbl案件[歸屬年度],(YEAR(今日)-1911)),0))</f>
        <v/>
      </c>
      <c r="D141" s="86">
        <f>IF(B141="",0,IFERROR(COUNTIFS(Tbl案件[承辦人],B141,Tbl案件[案類分類],"竊盜",Tbl案件[是否破獲],"是",Tbl案件[歸屬年度],(YEAR(今日)-1911)),0))</f>
        <v/>
      </c>
      <c r="E141" s="86">
        <f>IF(B141="",0,IFERROR(COUNTIFS(Tbl案件[承辦人],B141,Tbl案件[案類分類],"詐欺",Tbl案件[是否破獲],"是",Tbl案件[歸屬年度],(YEAR(今日)-1911)),0))</f>
        <v/>
      </c>
      <c r="F141" s="86">
        <f>IF(B141="",0,IFERROR(COUNTIFS(Tbl案件[承辦人],B141,Tbl案件[案類分類],"毒品",Tbl案件[是否破獲],"是",Tbl案件[歸屬年度],(YEAR(今日)-1911)),0))</f>
        <v/>
      </c>
      <c r="G141" s="86">
        <f>IF(B141="",0,IFERROR(COUNTIFS(Tbl案件[承辦人],B141,Tbl案件[案類分類],"暴力犯罪",Tbl案件[是否破獲],"是",Tbl案件[歸屬年度],(YEAR(今日)-1911)),0))</f>
        <v/>
      </c>
      <c r="H141" s="86">
        <f>MAX(0,C141-D141-E141-F141-G141)</f>
        <v/>
      </c>
      <c r="I141" s="163">
        <f>IF(B141="",0,C141+42*0.0001)</f>
        <v/>
      </c>
    </row>
    <row r="142" hidden="1">
      <c r="A142" s="86" t="n">
        <v>43</v>
      </c>
      <c r="B142" s="83">
        <f>IFERROR(INDEX(員警姓名清單,43),"")</f>
        <v/>
      </c>
      <c r="C142" s="86">
        <f>IF(B142="",0,IFERROR(COUNTIFS(Tbl案件[承辦人],B142,Tbl案件[是否破獲],"是",Tbl案件[歸屬年度],(YEAR(今日)-1911)),0))</f>
        <v/>
      </c>
      <c r="D142" s="86">
        <f>IF(B142="",0,IFERROR(COUNTIFS(Tbl案件[承辦人],B142,Tbl案件[案類分類],"竊盜",Tbl案件[是否破獲],"是",Tbl案件[歸屬年度],(YEAR(今日)-1911)),0))</f>
        <v/>
      </c>
      <c r="E142" s="86">
        <f>IF(B142="",0,IFERROR(COUNTIFS(Tbl案件[承辦人],B142,Tbl案件[案類分類],"詐欺",Tbl案件[是否破獲],"是",Tbl案件[歸屬年度],(YEAR(今日)-1911)),0))</f>
        <v/>
      </c>
      <c r="F142" s="86">
        <f>IF(B142="",0,IFERROR(COUNTIFS(Tbl案件[承辦人],B142,Tbl案件[案類分類],"毒品",Tbl案件[是否破獲],"是",Tbl案件[歸屬年度],(YEAR(今日)-1911)),0))</f>
        <v/>
      </c>
      <c r="G142" s="86">
        <f>IF(B142="",0,IFERROR(COUNTIFS(Tbl案件[承辦人],B142,Tbl案件[案類分類],"暴力犯罪",Tbl案件[是否破獲],"是",Tbl案件[歸屬年度],(YEAR(今日)-1911)),0))</f>
        <v/>
      </c>
      <c r="H142" s="86">
        <f>MAX(0,C142-D142-E142-F142-G142)</f>
        <v/>
      </c>
      <c r="I142" s="163">
        <f>IF(B142="",0,C142+43*0.0001)</f>
        <v/>
      </c>
    </row>
    <row r="143" hidden="1">
      <c r="A143" s="86" t="n">
        <v>44</v>
      </c>
      <c r="B143" s="83">
        <f>IFERROR(INDEX(員警姓名清單,44),"")</f>
        <v/>
      </c>
      <c r="C143" s="86">
        <f>IF(B143="",0,IFERROR(COUNTIFS(Tbl案件[承辦人],B143,Tbl案件[是否破獲],"是",Tbl案件[歸屬年度],(YEAR(今日)-1911)),0))</f>
        <v/>
      </c>
      <c r="D143" s="86">
        <f>IF(B143="",0,IFERROR(COUNTIFS(Tbl案件[承辦人],B143,Tbl案件[案類分類],"竊盜",Tbl案件[是否破獲],"是",Tbl案件[歸屬年度],(YEAR(今日)-1911)),0))</f>
        <v/>
      </c>
      <c r="E143" s="86">
        <f>IF(B143="",0,IFERROR(COUNTIFS(Tbl案件[承辦人],B143,Tbl案件[案類分類],"詐欺",Tbl案件[是否破獲],"是",Tbl案件[歸屬年度],(YEAR(今日)-1911)),0))</f>
        <v/>
      </c>
      <c r="F143" s="86">
        <f>IF(B143="",0,IFERROR(COUNTIFS(Tbl案件[承辦人],B143,Tbl案件[案類分類],"毒品",Tbl案件[是否破獲],"是",Tbl案件[歸屬年度],(YEAR(今日)-1911)),0))</f>
        <v/>
      </c>
      <c r="G143" s="86">
        <f>IF(B143="",0,IFERROR(COUNTIFS(Tbl案件[承辦人],B143,Tbl案件[案類分類],"暴力犯罪",Tbl案件[是否破獲],"是",Tbl案件[歸屬年度],(YEAR(今日)-1911)),0))</f>
        <v/>
      </c>
      <c r="H143" s="86">
        <f>MAX(0,C143-D143-E143-F143-G143)</f>
        <v/>
      </c>
      <c r="I143" s="163">
        <f>IF(B143="",0,C143+44*0.0001)</f>
        <v/>
      </c>
    </row>
    <row r="144" hidden="1">
      <c r="A144" s="86" t="n">
        <v>45</v>
      </c>
      <c r="B144" s="83">
        <f>IFERROR(INDEX(員警姓名清單,45),"")</f>
        <v/>
      </c>
      <c r="C144" s="86">
        <f>IF(B144="",0,IFERROR(COUNTIFS(Tbl案件[承辦人],B144,Tbl案件[是否破獲],"是",Tbl案件[歸屬年度],(YEAR(今日)-1911)),0))</f>
        <v/>
      </c>
      <c r="D144" s="86">
        <f>IF(B144="",0,IFERROR(COUNTIFS(Tbl案件[承辦人],B144,Tbl案件[案類分類],"竊盜",Tbl案件[是否破獲],"是",Tbl案件[歸屬年度],(YEAR(今日)-1911)),0))</f>
        <v/>
      </c>
      <c r="E144" s="86">
        <f>IF(B144="",0,IFERROR(COUNTIFS(Tbl案件[承辦人],B144,Tbl案件[案類分類],"詐欺",Tbl案件[是否破獲],"是",Tbl案件[歸屬年度],(YEAR(今日)-1911)),0))</f>
        <v/>
      </c>
      <c r="F144" s="86">
        <f>IF(B144="",0,IFERROR(COUNTIFS(Tbl案件[承辦人],B144,Tbl案件[案類分類],"毒品",Tbl案件[是否破獲],"是",Tbl案件[歸屬年度],(YEAR(今日)-1911)),0))</f>
        <v/>
      </c>
      <c r="G144" s="86">
        <f>IF(B144="",0,IFERROR(COUNTIFS(Tbl案件[承辦人],B144,Tbl案件[案類分類],"暴力犯罪",Tbl案件[是否破獲],"是",Tbl案件[歸屬年度],(YEAR(今日)-1911)),0))</f>
        <v/>
      </c>
      <c r="H144" s="86">
        <f>MAX(0,C144-D144-E144-F144-G144)</f>
        <v/>
      </c>
      <c r="I144" s="163">
        <f>IF(B144="",0,C144+45*0.0001)</f>
        <v/>
      </c>
    </row>
    <row r="145" hidden="1">
      <c r="A145" s="86" t="n">
        <v>46</v>
      </c>
      <c r="B145" s="83">
        <f>IFERROR(INDEX(員警姓名清單,46),"")</f>
        <v/>
      </c>
      <c r="C145" s="86">
        <f>IF(B145="",0,IFERROR(COUNTIFS(Tbl案件[承辦人],B145,Tbl案件[是否破獲],"是",Tbl案件[歸屬年度],(YEAR(今日)-1911)),0))</f>
        <v/>
      </c>
      <c r="D145" s="86">
        <f>IF(B145="",0,IFERROR(COUNTIFS(Tbl案件[承辦人],B145,Tbl案件[案類分類],"竊盜",Tbl案件[是否破獲],"是",Tbl案件[歸屬年度],(YEAR(今日)-1911)),0))</f>
        <v/>
      </c>
      <c r="E145" s="86">
        <f>IF(B145="",0,IFERROR(COUNTIFS(Tbl案件[承辦人],B145,Tbl案件[案類分類],"詐欺",Tbl案件[是否破獲],"是",Tbl案件[歸屬年度],(YEAR(今日)-1911)),0))</f>
        <v/>
      </c>
      <c r="F145" s="86">
        <f>IF(B145="",0,IFERROR(COUNTIFS(Tbl案件[承辦人],B145,Tbl案件[案類分類],"毒品",Tbl案件[是否破獲],"是",Tbl案件[歸屬年度],(YEAR(今日)-1911)),0))</f>
        <v/>
      </c>
      <c r="G145" s="86">
        <f>IF(B145="",0,IFERROR(COUNTIFS(Tbl案件[承辦人],B145,Tbl案件[案類分類],"暴力犯罪",Tbl案件[是否破獲],"是",Tbl案件[歸屬年度],(YEAR(今日)-1911)),0))</f>
        <v/>
      </c>
      <c r="H145" s="86">
        <f>MAX(0,C145-D145-E145-F145-G145)</f>
        <v/>
      </c>
      <c r="I145" s="163">
        <f>IF(B145="",0,C145+46*0.0001)</f>
        <v/>
      </c>
    </row>
    <row r="146" hidden="1">
      <c r="A146" s="86" t="n">
        <v>47</v>
      </c>
      <c r="B146" s="83">
        <f>IFERROR(INDEX(員警姓名清單,47),"")</f>
        <v/>
      </c>
      <c r="C146" s="86">
        <f>IF(B146="",0,IFERROR(COUNTIFS(Tbl案件[承辦人],B146,Tbl案件[是否破獲],"是",Tbl案件[歸屬年度],(YEAR(今日)-1911)),0))</f>
        <v/>
      </c>
      <c r="D146" s="86">
        <f>IF(B146="",0,IFERROR(COUNTIFS(Tbl案件[承辦人],B146,Tbl案件[案類分類],"竊盜",Tbl案件[是否破獲],"是",Tbl案件[歸屬年度],(YEAR(今日)-1911)),0))</f>
        <v/>
      </c>
      <c r="E146" s="86">
        <f>IF(B146="",0,IFERROR(COUNTIFS(Tbl案件[承辦人],B146,Tbl案件[案類分類],"詐欺",Tbl案件[是否破獲],"是",Tbl案件[歸屬年度],(YEAR(今日)-1911)),0))</f>
        <v/>
      </c>
      <c r="F146" s="86">
        <f>IF(B146="",0,IFERROR(COUNTIFS(Tbl案件[承辦人],B146,Tbl案件[案類分類],"毒品",Tbl案件[是否破獲],"是",Tbl案件[歸屬年度],(YEAR(今日)-1911)),0))</f>
        <v/>
      </c>
      <c r="G146" s="86">
        <f>IF(B146="",0,IFERROR(COUNTIFS(Tbl案件[承辦人],B146,Tbl案件[案類分類],"暴力犯罪",Tbl案件[是否破獲],"是",Tbl案件[歸屬年度],(YEAR(今日)-1911)),0))</f>
        <v/>
      </c>
      <c r="H146" s="86">
        <f>MAX(0,C146-D146-E146-F146-G146)</f>
        <v/>
      </c>
      <c r="I146" s="163">
        <f>IF(B146="",0,C146+47*0.0001)</f>
        <v/>
      </c>
    </row>
    <row r="147" hidden="1">
      <c r="A147" s="86" t="n">
        <v>48</v>
      </c>
      <c r="B147" s="83">
        <f>IFERROR(INDEX(員警姓名清單,48),"")</f>
        <v/>
      </c>
      <c r="C147" s="86">
        <f>IF(B147="",0,IFERROR(COUNTIFS(Tbl案件[承辦人],B147,Tbl案件[是否破獲],"是",Tbl案件[歸屬年度],(YEAR(今日)-1911)),0))</f>
        <v/>
      </c>
      <c r="D147" s="86">
        <f>IF(B147="",0,IFERROR(COUNTIFS(Tbl案件[承辦人],B147,Tbl案件[案類分類],"竊盜",Tbl案件[是否破獲],"是",Tbl案件[歸屬年度],(YEAR(今日)-1911)),0))</f>
        <v/>
      </c>
      <c r="E147" s="86">
        <f>IF(B147="",0,IFERROR(COUNTIFS(Tbl案件[承辦人],B147,Tbl案件[案類分類],"詐欺",Tbl案件[是否破獲],"是",Tbl案件[歸屬年度],(YEAR(今日)-1911)),0))</f>
        <v/>
      </c>
      <c r="F147" s="86">
        <f>IF(B147="",0,IFERROR(COUNTIFS(Tbl案件[承辦人],B147,Tbl案件[案類分類],"毒品",Tbl案件[是否破獲],"是",Tbl案件[歸屬年度],(YEAR(今日)-1911)),0))</f>
        <v/>
      </c>
      <c r="G147" s="86">
        <f>IF(B147="",0,IFERROR(COUNTIFS(Tbl案件[承辦人],B147,Tbl案件[案類分類],"暴力犯罪",Tbl案件[是否破獲],"是",Tbl案件[歸屬年度],(YEAR(今日)-1911)),0))</f>
        <v/>
      </c>
      <c r="H147" s="86">
        <f>MAX(0,C147-D147-E147-F147-G147)</f>
        <v/>
      </c>
      <c r="I147" s="163">
        <f>IF(B147="",0,C147+48*0.0001)</f>
        <v/>
      </c>
    </row>
    <row r="148" hidden="1">
      <c r="A148" s="86" t="n">
        <v>49</v>
      </c>
      <c r="B148" s="83">
        <f>IFERROR(INDEX(員警姓名清單,49),"")</f>
        <v/>
      </c>
      <c r="C148" s="86">
        <f>IF(B148="",0,IFERROR(COUNTIFS(Tbl案件[承辦人],B148,Tbl案件[是否破獲],"是",Tbl案件[歸屬年度],(YEAR(今日)-1911)),0))</f>
        <v/>
      </c>
      <c r="D148" s="86">
        <f>IF(B148="",0,IFERROR(COUNTIFS(Tbl案件[承辦人],B148,Tbl案件[案類分類],"竊盜",Tbl案件[是否破獲],"是",Tbl案件[歸屬年度],(YEAR(今日)-1911)),0))</f>
        <v/>
      </c>
      <c r="E148" s="86">
        <f>IF(B148="",0,IFERROR(COUNTIFS(Tbl案件[承辦人],B148,Tbl案件[案類分類],"詐欺",Tbl案件[是否破獲],"是",Tbl案件[歸屬年度],(YEAR(今日)-1911)),0))</f>
        <v/>
      </c>
      <c r="F148" s="86">
        <f>IF(B148="",0,IFERROR(COUNTIFS(Tbl案件[承辦人],B148,Tbl案件[案類分類],"毒品",Tbl案件[是否破獲],"是",Tbl案件[歸屬年度],(YEAR(今日)-1911)),0))</f>
        <v/>
      </c>
      <c r="G148" s="86">
        <f>IF(B148="",0,IFERROR(COUNTIFS(Tbl案件[承辦人],B148,Tbl案件[案類分類],"暴力犯罪",Tbl案件[是否破獲],"是",Tbl案件[歸屬年度],(YEAR(今日)-1911)),0))</f>
        <v/>
      </c>
      <c r="H148" s="86">
        <f>MAX(0,C148-D148-E148-F148-G148)</f>
        <v/>
      </c>
      <c r="I148" s="163">
        <f>IF(B148="",0,C148+49*0.0001)</f>
        <v/>
      </c>
    </row>
    <row r="149" hidden="1">
      <c r="A149" s="86" t="n">
        <v>50</v>
      </c>
      <c r="B149" s="83">
        <f>IFERROR(INDEX(員警姓名清單,50),"")</f>
        <v/>
      </c>
      <c r="C149" s="86">
        <f>IF(B149="",0,IFERROR(COUNTIFS(Tbl案件[承辦人],B149,Tbl案件[是否破獲],"是",Tbl案件[歸屬年度],(YEAR(今日)-1911)),0))</f>
        <v/>
      </c>
      <c r="D149" s="86">
        <f>IF(B149="",0,IFERROR(COUNTIFS(Tbl案件[承辦人],B149,Tbl案件[案類分類],"竊盜",Tbl案件[是否破獲],"是",Tbl案件[歸屬年度],(YEAR(今日)-1911)),0))</f>
        <v/>
      </c>
      <c r="E149" s="86">
        <f>IF(B149="",0,IFERROR(COUNTIFS(Tbl案件[承辦人],B149,Tbl案件[案類分類],"詐欺",Tbl案件[是否破獲],"是",Tbl案件[歸屬年度],(YEAR(今日)-1911)),0))</f>
        <v/>
      </c>
      <c r="F149" s="86">
        <f>IF(B149="",0,IFERROR(COUNTIFS(Tbl案件[承辦人],B149,Tbl案件[案類分類],"毒品",Tbl案件[是否破獲],"是",Tbl案件[歸屬年度],(YEAR(今日)-1911)),0))</f>
        <v/>
      </c>
      <c r="G149" s="86">
        <f>IF(B149="",0,IFERROR(COUNTIFS(Tbl案件[承辦人],B149,Tbl案件[案類分類],"暴力犯罪",Tbl案件[是否破獲],"是",Tbl案件[歸屬年度],(YEAR(今日)-1911)),0))</f>
        <v/>
      </c>
      <c r="H149" s="86">
        <f>MAX(0,C149-D149-E149-F149-G149)</f>
        <v/>
      </c>
      <c r="I149" s="163">
        <f>IF(B149="",0,C149+50*0.0001)</f>
        <v/>
      </c>
    </row>
    <row r="150" hidden="1">
      <c r="A150" s="86" t="n">
        <v>51</v>
      </c>
      <c r="B150" s="83">
        <f>IFERROR(INDEX(員警姓名清單,51),"")</f>
        <v/>
      </c>
      <c r="C150" s="86">
        <f>IF(B150="",0,IFERROR(COUNTIFS(Tbl案件[承辦人],B150,Tbl案件[是否破獲],"是",Tbl案件[歸屬年度],(YEAR(今日)-1911)),0))</f>
        <v/>
      </c>
      <c r="D150" s="86">
        <f>IF(B150="",0,IFERROR(COUNTIFS(Tbl案件[承辦人],B150,Tbl案件[案類分類],"竊盜",Tbl案件[是否破獲],"是",Tbl案件[歸屬年度],(YEAR(今日)-1911)),0))</f>
        <v/>
      </c>
      <c r="E150" s="86">
        <f>IF(B150="",0,IFERROR(COUNTIFS(Tbl案件[承辦人],B150,Tbl案件[案類分類],"詐欺",Tbl案件[是否破獲],"是",Tbl案件[歸屬年度],(YEAR(今日)-1911)),0))</f>
        <v/>
      </c>
      <c r="F150" s="86">
        <f>IF(B150="",0,IFERROR(COUNTIFS(Tbl案件[承辦人],B150,Tbl案件[案類分類],"毒品",Tbl案件[是否破獲],"是",Tbl案件[歸屬年度],(YEAR(今日)-1911)),0))</f>
        <v/>
      </c>
      <c r="G150" s="86">
        <f>IF(B150="",0,IFERROR(COUNTIFS(Tbl案件[承辦人],B150,Tbl案件[案類分類],"暴力犯罪",Tbl案件[是否破獲],"是",Tbl案件[歸屬年度],(YEAR(今日)-1911)),0))</f>
        <v/>
      </c>
      <c r="H150" s="86">
        <f>MAX(0,C150-D150-E150-F150-G150)</f>
        <v/>
      </c>
      <c r="I150" s="163">
        <f>IF(B150="",0,C150+51*0.0001)</f>
        <v/>
      </c>
    </row>
    <row r="151" hidden="1">
      <c r="A151" s="86" t="n">
        <v>52</v>
      </c>
      <c r="B151" s="83">
        <f>IFERROR(INDEX(員警姓名清單,52),"")</f>
        <v/>
      </c>
      <c r="C151" s="86">
        <f>IF(B151="",0,IFERROR(COUNTIFS(Tbl案件[承辦人],B151,Tbl案件[是否破獲],"是",Tbl案件[歸屬年度],(YEAR(今日)-1911)),0))</f>
        <v/>
      </c>
      <c r="D151" s="86">
        <f>IF(B151="",0,IFERROR(COUNTIFS(Tbl案件[承辦人],B151,Tbl案件[案類分類],"竊盜",Tbl案件[是否破獲],"是",Tbl案件[歸屬年度],(YEAR(今日)-1911)),0))</f>
        <v/>
      </c>
      <c r="E151" s="86">
        <f>IF(B151="",0,IFERROR(COUNTIFS(Tbl案件[承辦人],B151,Tbl案件[案類分類],"詐欺",Tbl案件[是否破獲],"是",Tbl案件[歸屬年度],(YEAR(今日)-1911)),0))</f>
        <v/>
      </c>
      <c r="F151" s="86">
        <f>IF(B151="",0,IFERROR(COUNTIFS(Tbl案件[承辦人],B151,Tbl案件[案類分類],"毒品",Tbl案件[是否破獲],"是",Tbl案件[歸屬年度],(YEAR(今日)-1911)),0))</f>
        <v/>
      </c>
      <c r="G151" s="86">
        <f>IF(B151="",0,IFERROR(COUNTIFS(Tbl案件[承辦人],B151,Tbl案件[案類分類],"暴力犯罪",Tbl案件[是否破獲],"是",Tbl案件[歸屬年度],(YEAR(今日)-1911)),0))</f>
        <v/>
      </c>
      <c r="H151" s="86">
        <f>MAX(0,C151-D151-E151-F151-G151)</f>
        <v/>
      </c>
      <c r="I151" s="163">
        <f>IF(B151="",0,C151+52*0.0001)</f>
        <v/>
      </c>
    </row>
    <row r="152" hidden="1">
      <c r="A152" s="86" t="n">
        <v>53</v>
      </c>
      <c r="B152" s="83">
        <f>IFERROR(INDEX(員警姓名清單,53),"")</f>
        <v/>
      </c>
      <c r="C152" s="86">
        <f>IF(B152="",0,IFERROR(COUNTIFS(Tbl案件[承辦人],B152,Tbl案件[是否破獲],"是",Tbl案件[歸屬年度],(YEAR(今日)-1911)),0))</f>
        <v/>
      </c>
      <c r="D152" s="86">
        <f>IF(B152="",0,IFERROR(COUNTIFS(Tbl案件[承辦人],B152,Tbl案件[案類分類],"竊盜",Tbl案件[是否破獲],"是",Tbl案件[歸屬年度],(YEAR(今日)-1911)),0))</f>
        <v/>
      </c>
      <c r="E152" s="86">
        <f>IF(B152="",0,IFERROR(COUNTIFS(Tbl案件[承辦人],B152,Tbl案件[案類分類],"詐欺",Tbl案件[是否破獲],"是",Tbl案件[歸屬年度],(YEAR(今日)-1911)),0))</f>
        <v/>
      </c>
      <c r="F152" s="86">
        <f>IF(B152="",0,IFERROR(COUNTIFS(Tbl案件[承辦人],B152,Tbl案件[案類分類],"毒品",Tbl案件[是否破獲],"是",Tbl案件[歸屬年度],(YEAR(今日)-1911)),0))</f>
        <v/>
      </c>
      <c r="G152" s="86">
        <f>IF(B152="",0,IFERROR(COUNTIFS(Tbl案件[承辦人],B152,Tbl案件[案類分類],"暴力犯罪",Tbl案件[是否破獲],"是",Tbl案件[歸屬年度],(YEAR(今日)-1911)),0))</f>
        <v/>
      </c>
      <c r="H152" s="86">
        <f>MAX(0,C152-D152-E152-F152-G152)</f>
        <v/>
      </c>
      <c r="I152" s="163">
        <f>IF(B152="",0,C152+53*0.0001)</f>
        <v/>
      </c>
    </row>
    <row r="153" hidden="1">
      <c r="A153" s="86" t="n">
        <v>54</v>
      </c>
      <c r="B153" s="83">
        <f>IFERROR(INDEX(員警姓名清單,54),"")</f>
        <v/>
      </c>
      <c r="C153" s="86">
        <f>IF(B153="",0,IFERROR(COUNTIFS(Tbl案件[承辦人],B153,Tbl案件[是否破獲],"是",Tbl案件[歸屬年度],(YEAR(今日)-1911)),0))</f>
        <v/>
      </c>
      <c r="D153" s="86">
        <f>IF(B153="",0,IFERROR(COUNTIFS(Tbl案件[承辦人],B153,Tbl案件[案類分類],"竊盜",Tbl案件[是否破獲],"是",Tbl案件[歸屬年度],(YEAR(今日)-1911)),0))</f>
        <v/>
      </c>
      <c r="E153" s="86">
        <f>IF(B153="",0,IFERROR(COUNTIFS(Tbl案件[承辦人],B153,Tbl案件[案類分類],"詐欺",Tbl案件[是否破獲],"是",Tbl案件[歸屬年度],(YEAR(今日)-1911)),0))</f>
        <v/>
      </c>
      <c r="F153" s="86">
        <f>IF(B153="",0,IFERROR(COUNTIFS(Tbl案件[承辦人],B153,Tbl案件[案類分類],"毒品",Tbl案件[是否破獲],"是",Tbl案件[歸屬年度],(YEAR(今日)-1911)),0))</f>
        <v/>
      </c>
      <c r="G153" s="86">
        <f>IF(B153="",0,IFERROR(COUNTIFS(Tbl案件[承辦人],B153,Tbl案件[案類分類],"暴力犯罪",Tbl案件[是否破獲],"是",Tbl案件[歸屬年度],(YEAR(今日)-1911)),0))</f>
        <v/>
      </c>
      <c r="H153" s="86">
        <f>MAX(0,C153-D153-E153-F153-G153)</f>
        <v/>
      </c>
      <c r="I153" s="163">
        <f>IF(B153="",0,C153+54*0.0001)</f>
        <v/>
      </c>
    </row>
    <row r="154" hidden="1">
      <c r="A154" s="86" t="n">
        <v>55</v>
      </c>
      <c r="B154" s="83">
        <f>IFERROR(INDEX(員警姓名清單,55),"")</f>
        <v/>
      </c>
      <c r="C154" s="86">
        <f>IF(B154="",0,IFERROR(COUNTIFS(Tbl案件[承辦人],B154,Tbl案件[是否破獲],"是",Tbl案件[歸屬年度],(YEAR(今日)-1911)),0))</f>
        <v/>
      </c>
      <c r="D154" s="86">
        <f>IF(B154="",0,IFERROR(COUNTIFS(Tbl案件[承辦人],B154,Tbl案件[案類分類],"竊盜",Tbl案件[是否破獲],"是",Tbl案件[歸屬年度],(YEAR(今日)-1911)),0))</f>
        <v/>
      </c>
      <c r="E154" s="86">
        <f>IF(B154="",0,IFERROR(COUNTIFS(Tbl案件[承辦人],B154,Tbl案件[案類分類],"詐欺",Tbl案件[是否破獲],"是",Tbl案件[歸屬年度],(YEAR(今日)-1911)),0))</f>
        <v/>
      </c>
      <c r="F154" s="86">
        <f>IF(B154="",0,IFERROR(COUNTIFS(Tbl案件[承辦人],B154,Tbl案件[案類分類],"毒品",Tbl案件[是否破獲],"是",Tbl案件[歸屬年度],(YEAR(今日)-1911)),0))</f>
        <v/>
      </c>
      <c r="G154" s="86">
        <f>IF(B154="",0,IFERROR(COUNTIFS(Tbl案件[承辦人],B154,Tbl案件[案類分類],"暴力犯罪",Tbl案件[是否破獲],"是",Tbl案件[歸屬年度],(YEAR(今日)-1911)),0))</f>
        <v/>
      </c>
      <c r="H154" s="86">
        <f>MAX(0,C154-D154-E154-F154-G154)</f>
        <v/>
      </c>
      <c r="I154" s="163">
        <f>IF(B154="",0,C154+55*0.0001)</f>
        <v/>
      </c>
    </row>
    <row r="155" hidden="1">
      <c r="A155" s="86" t="n">
        <v>56</v>
      </c>
      <c r="B155" s="83">
        <f>IFERROR(INDEX(員警姓名清單,56),"")</f>
        <v/>
      </c>
      <c r="C155" s="86">
        <f>IF(B155="",0,IFERROR(COUNTIFS(Tbl案件[承辦人],B155,Tbl案件[是否破獲],"是",Tbl案件[歸屬年度],(YEAR(今日)-1911)),0))</f>
        <v/>
      </c>
      <c r="D155" s="86">
        <f>IF(B155="",0,IFERROR(COUNTIFS(Tbl案件[承辦人],B155,Tbl案件[案類分類],"竊盜",Tbl案件[是否破獲],"是",Tbl案件[歸屬年度],(YEAR(今日)-1911)),0))</f>
        <v/>
      </c>
      <c r="E155" s="86">
        <f>IF(B155="",0,IFERROR(COUNTIFS(Tbl案件[承辦人],B155,Tbl案件[案類分類],"詐欺",Tbl案件[是否破獲],"是",Tbl案件[歸屬年度],(YEAR(今日)-1911)),0))</f>
        <v/>
      </c>
      <c r="F155" s="86">
        <f>IF(B155="",0,IFERROR(COUNTIFS(Tbl案件[承辦人],B155,Tbl案件[案類分類],"毒品",Tbl案件[是否破獲],"是",Tbl案件[歸屬年度],(YEAR(今日)-1911)),0))</f>
        <v/>
      </c>
      <c r="G155" s="86">
        <f>IF(B155="",0,IFERROR(COUNTIFS(Tbl案件[承辦人],B155,Tbl案件[案類分類],"暴力犯罪",Tbl案件[是否破獲],"是",Tbl案件[歸屬年度],(YEAR(今日)-1911)),0))</f>
        <v/>
      </c>
      <c r="H155" s="86">
        <f>MAX(0,C155-D155-E155-F155-G155)</f>
        <v/>
      </c>
      <c r="I155" s="163">
        <f>IF(B155="",0,C155+56*0.0001)</f>
        <v/>
      </c>
    </row>
    <row r="156" hidden="1">
      <c r="A156" s="86" t="n">
        <v>57</v>
      </c>
      <c r="B156" s="83">
        <f>IFERROR(INDEX(員警姓名清單,57),"")</f>
        <v/>
      </c>
      <c r="C156" s="86">
        <f>IF(B156="",0,IFERROR(COUNTIFS(Tbl案件[承辦人],B156,Tbl案件[是否破獲],"是",Tbl案件[歸屬年度],(YEAR(今日)-1911)),0))</f>
        <v/>
      </c>
      <c r="D156" s="86">
        <f>IF(B156="",0,IFERROR(COUNTIFS(Tbl案件[承辦人],B156,Tbl案件[案類分類],"竊盜",Tbl案件[是否破獲],"是",Tbl案件[歸屬年度],(YEAR(今日)-1911)),0))</f>
        <v/>
      </c>
      <c r="E156" s="86">
        <f>IF(B156="",0,IFERROR(COUNTIFS(Tbl案件[承辦人],B156,Tbl案件[案類分類],"詐欺",Tbl案件[是否破獲],"是",Tbl案件[歸屬年度],(YEAR(今日)-1911)),0))</f>
        <v/>
      </c>
      <c r="F156" s="86">
        <f>IF(B156="",0,IFERROR(COUNTIFS(Tbl案件[承辦人],B156,Tbl案件[案類分類],"毒品",Tbl案件[是否破獲],"是",Tbl案件[歸屬年度],(YEAR(今日)-1911)),0))</f>
        <v/>
      </c>
      <c r="G156" s="86">
        <f>IF(B156="",0,IFERROR(COUNTIFS(Tbl案件[承辦人],B156,Tbl案件[案類分類],"暴力犯罪",Tbl案件[是否破獲],"是",Tbl案件[歸屬年度],(YEAR(今日)-1911)),0))</f>
        <v/>
      </c>
      <c r="H156" s="86">
        <f>MAX(0,C156-D156-E156-F156-G156)</f>
        <v/>
      </c>
      <c r="I156" s="163">
        <f>IF(B156="",0,C156+57*0.0001)</f>
        <v/>
      </c>
    </row>
    <row r="157" hidden="1">
      <c r="A157" s="86" t="n">
        <v>58</v>
      </c>
      <c r="B157" s="83">
        <f>IFERROR(INDEX(員警姓名清單,58),"")</f>
        <v/>
      </c>
      <c r="C157" s="86">
        <f>IF(B157="",0,IFERROR(COUNTIFS(Tbl案件[承辦人],B157,Tbl案件[是否破獲],"是",Tbl案件[歸屬年度],(YEAR(今日)-1911)),0))</f>
        <v/>
      </c>
      <c r="D157" s="86">
        <f>IF(B157="",0,IFERROR(COUNTIFS(Tbl案件[承辦人],B157,Tbl案件[案類分類],"竊盜",Tbl案件[是否破獲],"是",Tbl案件[歸屬年度],(YEAR(今日)-1911)),0))</f>
        <v/>
      </c>
      <c r="E157" s="86">
        <f>IF(B157="",0,IFERROR(COUNTIFS(Tbl案件[承辦人],B157,Tbl案件[案類分類],"詐欺",Tbl案件[是否破獲],"是",Tbl案件[歸屬年度],(YEAR(今日)-1911)),0))</f>
        <v/>
      </c>
      <c r="F157" s="86">
        <f>IF(B157="",0,IFERROR(COUNTIFS(Tbl案件[承辦人],B157,Tbl案件[案類分類],"毒品",Tbl案件[是否破獲],"是",Tbl案件[歸屬年度],(YEAR(今日)-1911)),0))</f>
        <v/>
      </c>
      <c r="G157" s="86">
        <f>IF(B157="",0,IFERROR(COUNTIFS(Tbl案件[承辦人],B157,Tbl案件[案類分類],"暴力犯罪",Tbl案件[是否破獲],"是",Tbl案件[歸屬年度],(YEAR(今日)-1911)),0))</f>
        <v/>
      </c>
      <c r="H157" s="86">
        <f>MAX(0,C157-D157-E157-F157-G157)</f>
        <v/>
      </c>
      <c r="I157" s="163">
        <f>IF(B157="",0,C157+58*0.0001)</f>
        <v/>
      </c>
    </row>
    <row r="158" hidden="1">
      <c r="A158" s="86" t="n">
        <v>59</v>
      </c>
      <c r="B158" s="83">
        <f>IFERROR(INDEX(員警姓名清單,59),"")</f>
        <v/>
      </c>
      <c r="C158" s="86">
        <f>IF(B158="",0,IFERROR(COUNTIFS(Tbl案件[承辦人],B158,Tbl案件[是否破獲],"是",Tbl案件[歸屬年度],(YEAR(今日)-1911)),0))</f>
        <v/>
      </c>
      <c r="D158" s="86">
        <f>IF(B158="",0,IFERROR(COUNTIFS(Tbl案件[承辦人],B158,Tbl案件[案類分類],"竊盜",Tbl案件[是否破獲],"是",Tbl案件[歸屬年度],(YEAR(今日)-1911)),0))</f>
        <v/>
      </c>
      <c r="E158" s="86">
        <f>IF(B158="",0,IFERROR(COUNTIFS(Tbl案件[承辦人],B158,Tbl案件[案類分類],"詐欺",Tbl案件[是否破獲],"是",Tbl案件[歸屬年度],(YEAR(今日)-1911)),0))</f>
        <v/>
      </c>
      <c r="F158" s="86">
        <f>IF(B158="",0,IFERROR(COUNTIFS(Tbl案件[承辦人],B158,Tbl案件[案類分類],"毒品",Tbl案件[是否破獲],"是",Tbl案件[歸屬年度],(YEAR(今日)-1911)),0))</f>
        <v/>
      </c>
      <c r="G158" s="86">
        <f>IF(B158="",0,IFERROR(COUNTIFS(Tbl案件[承辦人],B158,Tbl案件[案類分類],"暴力犯罪",Tbl案件[是否破獲],"是",Tbl案件[歸屬年度],(YEAR(今日)-1911)),0))</f>
        <v/>
      </c>
      <c r="H158" s="86">
        <f>MAX(0,C158-D158-E158-F158-G158)</f>
        <v/>
      </c>
      <c r="I158" s="163">
        <f>IF(B158="",0,C158+59*0.0001)</f>
        <v/>
      </c>
    </row>
    <row r="159" hidden="1">
      <c r="A159" s="86" t="n">
        <v>60</v>
      </c>
      <c r="B159" s="83">
        <f>IFERROR(INDEX(員警姓名清單,60),"")</f>
        <v/>
      </c>
      <c r="C159" s="86">
        <f>IF(B159="",0,IFERROR(COUNTIFS(Tbl案件[承辦人],B159,Tbl案件[是否破獲],"是",Tbl案件[歸屬年度],(YEAR(今日)-1911)),0))</f>
        <v/>
      </c>
      <c r="D159" s="86">
        <f>IF(B159="",0,IFERROR(COUNTIFS(Tbl案件[承辦人],B159,Tbl案件[案類分類],"竊盜",Tbl案件[是否破獲],"是",Tbl案件[歸屬年度],(YEAR(今日)-1911)),0))</f>
        <v/>
      </c>
      <c r="E159" s="86">
        <f>IF(B159="",0,IFERROR(COUNTIFS(Tbl案件[承辦人],B159,Tbl案件[案類分類],"詐欺",Tbl案件[是否破獲],"是",Tbl案件[歸屬年度],(YEAR(今日)-1911)),0))</f>
        <v/>
      </c>
      <c r="F159" s="86">
        <f>IF(B159="",0,IFERROR(COUNTIFS(Tbl案件[承辦人],B159,Tbl案件[案類分類],"毒品",Tbl案件[是否破獲],"是",Tbl案件[歸屬年度],(YEAR(今日)-1911)),0))</f>
        <v/>
      </c>
      <c r="G159" s="86">
        <f>IF(B159="",0,IFERROR(COUNTIFS(Tbl案件[承辦人],B159,Tbl案件[案類分類],"暴力犯罪",Tbl案件[是否破獲],"是",Tbl案件[歸屬年度],(YEAR(今日)-1911)),0))</f>
        <v/>
      </c>
      <c r="H159" s="86">
        <f>MAX(0,C159-D159-E159-F159-G159)</f>
        <v/>
      </c>
      <c r="I159" s="163">
        <f>IF(B159="",0,C159+60*0.0001)</f>
        <v/>
      </c>
    </row>
    <row r="160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6">
    <mergeCell ref="A4:H4"/>
    <mergeCell ref="A16:H16"/>
    <mergeCell ref="A2:H2"/>
    <mergeCell ref="A1:H1"/>
    <mergeCell ref="A31:H31"/>
    <mergeCell ref="A6:H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30" customWidth="1" min="4" max="4"/>
    <col width="18" customWidth="1" min="5" max="5"/>
    <col width="18" customWidth="1" min="6" max="6"/>
    <col width="16" customWidth="1" min="7" max="7"/>
    <col width="30" customWidth="1" min="8" max="8"/>
  </cols>
  <sheetData>
    <row r="1" ht="52" customHeight="1">
      <c r="A1" s="27" t="inlineStr">
        <is>
          <t xml:space="preserve">   👮  員警個人績效卡（A 麥肯錫風 — A4 直式可獨立列印）</t>
        </is>
      </c>
      <c r="B1" s="6" t="n"/>
      <c r="C1" s="6" t="n"/>
      <c r="D1" s="6" t="n"/>
      <c r="E1" s="6" t="n"/>
      <c r="F1" s="6" t="n"/>
      <c r="G1" s="6" t="n"/>
      <c r="H1" s="6" t="n"/>
    </row>
    <row r="2" ht="28" customHeight="1">
      <c r="A2" s="2">
        <f>"   "&amp;警察局名稱&amp;" · "&amp;分局名稱&amp;" · "&amp;派出所名稱&amp;" ｜ 中華民國 "&amp;(YEAR(今日)-1911)&amp;" 年度績效卡 ｜ 製表："&amp;TEXT(今日,"e/mm/dd")</f>
        <v/>
      </c>
    </row>
    <row r="3" ht="32" customHeight="1">
      <c r="A3" s="3" t="inlineStr">
        <is>
          <t xml:space="preserve">  選擇員警：</t>
        </is>
      </c>
      <c r="B3" s="233" t="inlineStr">
        <is>
          <t>王小明</t>
        </is>
      </c>
      <c r="C3" s="165">
        <f>"職稱：" &amp; IFERROR(INDEX(設定表!$C$13:$C$72,MATCH(B3,員警姓名清單,0)),"—")</f>
        <v/>
      </c>
      <c r="D3" s="8" t="n"/>
      <c r="E3" s="165">
        <f>"在職：" &amp; IFERROR(INDEX(設定表!$D$13:$D$72,MATCH(B3,員警姓名清單,0)),"—")</f>
        <v/>
      </c>
      <c r="F3" s="8" t="n"/>
      <c r="G3" s="166">
        <f>"📌 完整名冊請至設定表 B 區"</f>
        <v/>
      </c>
      <c r="H3" s="8" t="n"/>
    </row>
    <row r="4" ht="6" customHeight="1"/>
    <row r="5" ht="24" customHeight="1">
      <c r="A5" s="129" t="inlineStr">
        <is>
          <t xml:space="preserve">  🏆 總破獲</t>
        </is>
      </c>
      <c r="B5" s="7" t="n"/>
      <c r="C5" s="111" t="inlineStr">
        <is>
          <t xml:space="preserve">  📊 全所排名</t>
        </is>
      </c>
      <c r="D5" s="7" t="n"/>
      <c r="E5" s="112" t="inlineStr">
        <is>
          <t xml:space="preserve">  📈 全所佔比</t>
        </is>
      </c>
      <c r="F5" s="7" t="n"/>
      <c r="G5" s="191" t="inlineStr">
        <is>
          <t xml:space="preserve">  🆕 本月新增</t>
        </is>
      </c>
      <c r="H5" s="7" t="n"/>
    </row>
    <row r="6" ht="48" customHeight="1">
      <c r="A6" s="168">
        <f>IFERROR(COUNTIFS(Tbl案件[承辦人],B3,Tbl案件[是否破獲],"是",Tbl案件[歸屬年度],(YEAR(今日)-1911)),0)</f>
        <v/>
      </c>
      <c r="C6" s="77">
        <f>IFERROR(SUMPRODUCT(--(績效統計!$C$100:$C$159&gt;IFERROR(COUNTIFS(Tbl案件[承辦人],B3,Tbl案件[是否破獲],"是",Tbl案件[歸屬年度],(YEAR(今日)-1911)),0))*(績效統計!$B$100:$B$159&lt;&gt;""))+1,"—")</f>
        <v/>
      </c>
      <c r="E6" s="169">
        <f>IFERROR(COUNTIFS(Tbl案件[承辦人],B3,Tbl案件[是否破獲],"是",Tbl案件[歸屬年度],(YEAR(今日)-1911))/COUNTIFS(Tbl案件[查獲管轄],"本轄",Tbl案件[是否破獲],"是",Tbl案件[歸屬年度],(YEAR(今日)-1911)),0)</f>
        <v/>
      </c>
      <c r="G6" s="170">
        <f>IFERROR(COUNTIFS(Tbl案件[承辦人],B3,Tbl案件[是否破獲],"是",Tbl案件[破獲時間],"&gt;="&amp;DATE(YEAR(今日),MONTH(今日),1),Tbl案件[破獲時間],"&lt;"&amp;DATE(YEAR(今日),MONTH(今日)+1,1)),0)</f>
        <v/>
      </c>
    </row>
    <row r="7" ht="20" customHeight="1">
      <c r="A7" s="192" t="inlineStr">
        <is>
          <t xml:space="preserve">  本年度累計</t>
        </is>
      </c>
      <c r="B7" s="6" t="n"/>
      <c r="C7" s="114" t="inlineStr">
        <is>
          <t xml:space="preserve">  全員警比較</t>
        </is>
      </c>
      <c r="D7" s="6" t="n"/>
      <c r="E7" s="115" t="inlineStr">
        <is>
          <t xml:space="preserve">  個人 / 全所破獲</t>
        </is>
      </c>
      <c r="F7" s="6" t="n"/>
      <c r="G7" s="192" t="inlineStr">
        <is>
          <t xml:space="preserve">  本月破獲</t>
        </is>
      </c>
      <c r="H7" s="6" t="n"/>
    </row>
    <row r="8" ht="34" customHeight="1">
      <c r="A8" s="39" t="inlineStr">
        <is>
          <t xml:space="preserve">   📈  個人 vs 全所平均比較表（按案類）</t>
        </is>
      </c>
    </row>
    <row r="9" ht="34" customHeight="1">
      <c r="A9" s="10" t="inlineStr">
        <is>
          <t>案類</t>
        </is>
      </c>
      <c r="B9" s="10" t="inlineStr">
        <is>
          <t>個人破獲</t>
        </is>
      </c>
      <c r="C9" s="10" t="inlineStr">
        <is>
          <t>全所平均</t>
        </is>
      </c>
      <c r="D9" s="10" t="inlineStr">
        <is>
          <t>差距</t>
        </is>
      </c>
      <c r="E9" s="10" t="inlineStr">
        <is>
          <t>評級</t>
        </is>
      </c>
      <c r="F9" s="10" t="inlineStr">
        <is>
          <t>—</t>
        </is>
      </c>
      <c r="G9" s="10" t="inlineStr">
        <is>
          <t>—</t>
        </is>
      </c>
      <c r="H9" s="10" t="inlineStr">
        <is>
          <t>—</t>
        </is>
      </c>
    </row>
    <row r="10" ht="30" customHeight="1">
      <c r="A10" s="13" t="inlineStr">
        <is>
          <t>總破獲</t>
        </is>
      </c>
      <c r="B10" s="172">
        <f>IFERROR(COUNTIFS(Tbl案件[承辦人],B3,Tbl案件[是否破獲],"是",Tbl案件[歸屬年度],(YEAR(今日)-1911)),0)</f>
        <v/>
      </c>
      <c r="C10" s="173">
        <f>IFERROR(COUNTIFS(Tbl案件[查獲管轄],"本轄",Tbl案件[是否破獲],"是",Tbl案件[歸屬年度],(YEAR(今日)-1911))/COUNTIF(設定表!$D$13:$D$72,"是"),0)</f>
        <v/>
      </c>
      <c r="D10" s="174">
        <f>IFERROR(B10-C10,0)</f>
        <v/>
      </c>
      <c r="E10" s="152">
        <f>IFERROR(IF(B10&gt;=C10*1.5,"★ 優異",IF(B10&gt;=C10,"● 達標",IF(B10&gt;=C10*0.5,"⚠ 待加強","● 落後"))),"—")</f>
        <v/>
      </c>
      <c r="F10" s="64" t="inlineStr"/>
      <c r="G10" s="64" t="inlineStr"/>
      <c r="H10" s="64" t="inlineStr"/>
    </row>
    <row r="11" ht="30" customHeight="1">
      <c r="A11" s="13" t="inlineStr">
        <is>
          <t>竊盜</t>
        </is>
      </c>
      <c r="B11" s="172">
        <f>IFERROR(COUNTIFS(Tbl案件[承辦人],B3,Tbl案件[案類分類],"竊盜",Tbl案件[是否破獲],"是",Tbl案件[歸屬年度],(YEAR(今日)-1911)),0)</f>
        <v/>
      </c>
      <c r="C11" s="173">
        <f>IFERROR(COUNTIFS(Tbl案件[案類分類],"竊盜",Tbl案件[查獲管轄],"本轄",Tbl案件[是否破獲],"是",Tbl案件[歸屬年度],(YEAR(今日)-1911))/COUNTIF(設定表!$D$13:$D$72,"是"),0)</f>
        <v/>
      </c>
      <c r="D11" s="174">
        <f>IFERROR(B11-C11,0)</f>
        <v/>
      </c>
      <c r="E11" s="152">
        <f>IFERROR(IF(B11&gt;=C11*1.5,"★ 優異",IF(B11&gt;=C11,"● 達標",IF(B11&gt;=C11*0.5,"⚠ 待加強","● 落後"))),"—")</f>
        <v/>
      </c>
      <c r="F11" s="64" t="inlineStr"/>
      <c r="G11" s="64" t="inlineStr"/>
      <c r="H11" s="64" t="inlineStr"/>
    </row>
    <row r="12" ht="30" customHeight="1">
      <c r="A12" s="13" t="inlineStr">
        <is>
          <t>詐欺</t>
        </is>
      </c>
      <c r="B12" s="172">
        <f>IFERROR(COUNTIFS(Tbl案件[承辦人],B3,Tbl案件[案類分類],"詐欺",Tbl案件[是否破獲],"是",Tbl案件[歸屬年度],(YEAR(今日)-1911)),0)</f>
        <v/>
      </c>
      <c r="C12" s="173">
        <f>IFERROR(COUNTIFS(Tbl案件[案類分類],"詐欺",Tbl案件[查獲管轄],"本轄",Tbl案件[是否破獲],"是",Tbl案件[歸屬年度],(YEAR(今日)-1911))/COUNTIF(設定表!$D$13:$D$72,"是"),0)</f>
        <v/>
      </c>
      <c r="D12" s="174">
        <f>IFERROR(B12-C12,0)</f>
        <v/>
      </c>
      <c r="E12" s="152">
        <f>IFERROR(IF(B12&gt;=C12*1.5,"★ 優異",IF(B12&gt;=C12,"● 達標",IF(B12&gt;=C12*0.5,"⚠ 待加強","● 落後"))),"—")</f>
        <v/>
      </c>
      <c r="F12" s="64" t="inlineStr"/>
      <c r="G12" s="64" t="inlineStr"/>
      <c r="H12" s="64" t="inlineStr"/>
    </row>
    <row r="13" ht="30" customHeight="1">
      <c r="A13" s="13" t="inlineStr">
        <is>
          <t>毒品</t>
        </is>
      </c>
      <c r="B13" s="172">
        <f>IFERROR(COUNTIFS(Tbl案件[承辦人],B3,Tbl案件[案類分類],"毒品",Tbl案件[是否破獲],"是",Tbl案件[歸屬年度],(YEAR(今日)-1911)),0)</f>
        <v/>
      </c>
      <c r="C13" s="173">
        <f>IFERROR(COUNTIFS(Tbl案件[案類分類],"毒品",Tbl案件[查獲管轄],"本轄",Tbl案件[是否破獲],"是",Tbl案件[歸屬年度],(YEAR(今日)-1911))/COUNTIF(設定表!$D$13:$D$72,"是"),0)</f>
        <v/>
      </c>
      <c r="D13" s="174">
        <f>IFERROR(B13-C13,0)</f>
        <v/>
      </c>
      <c r="E13" s="152">
        <f>IFERROR(IF(B13&gt;=C13*1.5,"★ 優異",IF(B13&gt;=C13,"● 達標",IF(B13&gt;=C13*0.5,"⚠ 待加強","● 落後"))),"—")</f>
        <v/>
      </c>
      <c r="F13" s="64" t="inlineStr"/>
      <c r="G13" s="64" t="inlineStr"/>
      <c r="H13" s="64" t="inlineStr"/>
    </row>
    <row r="14" ht="30" customHeight="1">
      <c r="A14" s="13" t="inlineStr">
        <is>
          <t>暴力犯罪</t>
        </is>
      </c>
      <c r="B14" s="172">
        <f>IFERROR(COUNTIFS(Tbl案件[承辦人],B3,Tbl案件[案類分類],"暴力犯罪",Tbl案件[是否破獲],"是",Tbl案件[歸屬年度],(YEAR(今日)-1911)),0)</f>
        <v/>
      </c>
      <c r="C14" s="173">
        <f>IFERROR(COUNTIFS(Tbl案件[案類分類],"暴力犯罪",Tbl案件[查獲管轄],"本轄",Tbl案件[是否破獲],"是",Tbl案件[歸屬年度],(YEAR(今日)-1911))/COUNTIF(設定表!$D$13:$D$72,"是"),0)</f>
        <v/>
      </c>
      <c r="D14" s="174">
        <f>IFERROR(B14-C14,0)</f>
        <v/>
      </c>
      <c r="E14" s="152">
        <f>IFERROR(IF(B14&gt;=C14*1.5,"★ 優異",IF(B14&gt;=C14,"● 達標",IF(B14&gt;=C14*0.5,"⚠ 待加強","● 落後"))),"—")</f>
        <v/>
      </c>
      <c r="F14" s="64" t="inlineStr"/>
      <c r="G14" s="64" t="inlineStr"/>
      <c r="H14" s="64" t="inlineStr"/>
    </row>
    <row r="15" ht="12" customHeight="1"/>
    <row r="16" ht="34" customHeight="1">
      <c r="A16" s="39" t="inlineStr">
        <is>
          <t xml:space="preserve">   📋  本年度辦案清單（只列已破獲案件，依破獲日期序）</t>
        </is>
      </c>
    </row>
    <row r="17" ht="34" customHeight="1">
      <c r="A17" s="10" t="inlineStr">
        <is>
          <t>序</t>
        </is>
      </c>
      <c r="B17" s="10" t="inlineStr">
        <is>
          <t>案類</t>
        </is>
      </c>
      <c r="C17" s="10" t="inlineStr">
        <is>
          <t>發生日</t>
        </is>
      </c>
      <c r="D17" s="10" t="inlineStr">
        <is>
          <t>發生地</t>
        </is>
      </c>
      <c r="E17" s="10" t="inlineStr">
        <is>
          <t>破獲日</t>
        </is>
      </c>
      <c r="F17" s="10" t="inlineStr">
        <is>
          <t>案件狀況</t>
        </is>
      </c>
      <c r="G17" s="10" t="inlineStr">
        <is>
          <t>涉案金額</t>
        </is>
      </c>
      <c r="H17" s="10" t="inlineStr">
        <is>
          <t>備註</t>
        </is>
      </c>
    </row>
    <row r="18" ht="30" customHeight="1">
      <c r="A18" s="141">
        <f>IFERROR(IF(AGGREGATE(15,6,ROW(Tbl案件[編號])/((Tbl案件[承辦人]=B3)*(Tbl案件[是否破獲]="是")*(Tbl案件[歸屬年度]=(YEAR(今日)-1911))),1)&gt;0,1,""),"")</f>
        <v/>
      </c>
      <c r="B18" s="16">
        <f>IFERROR(INDEX(Tbl案件[案類],AGGREGATE(15,6,ROW(Tbl案件[編號])/((Tbl案件[承辦人]=B3)*(Tbl案件[是否破獲]="是")*(Tbl案件[歸屬年度]=(YEAR(今日)-1911))),1)-14),"")</f>
        <v/>
      </c>
      <c r="C18" s="126">
        <f>IFERROR(INDEX(Tbl案件[發生時間],AGGREGATE(15,6,ROW(Tbl案件[編號])/((Tbl案件[承辦人]=B3)*(Tbl案件[是否破獲]="是")*(Tbl案件[歸屬年度]=(YEAR(今日)-1911))),1)-14),"")</f>
        <v/>
      </c>
      <c r="D18" s="16">
        <f>IFERROR(INDEX(Tbl案件[發生地點],AGGREGATE(15,6,ROW(Tbl案件[編號])/((Tbl案件[承辦人]=B3)*(Tbl案件[是否破獲]="是")*(Tbl案件[歸屬年度]=(YEAR(今日)-1911))),1)-14),"")</f>
        <v/>
      </c>
      <c r="E18" s="126">
        <f>IFERROR(INDEX(Tbl案件[破獲時間],AGGREGATE(15,6,ROW(Tbl案件[編號])/((Tbl案件[承辦人]=B3)*(Tbl案件[是否破獲]="是")*(Tbl案件[歸屬年度]=(YEAR(今日)-1911))),1)-14),"")</f>
        <v/>
      </c>
      <c r="F18" s="15">
        <f>IFERROR(INDEX(Tbl案件[案件狀況],AGGREGATE(15,6,ROW(Tbl案件[編號])/((Tbl案件[承辦人]=B3)*(Tbl案件[是否破獲]="是")*(Tbl案件[歸屬年度]=(YEAR(今日)-1911))),1)-14),"")</f>
        <v/>
      </c>
      <c r="G18" s="141">
        <f>IFERROR(INDEX(Tbl案件[涉案金額],AGGREGATE(15,6,ROW(Tbl案件[編號])/((Tbl案件[承辦人]=B3)*(Tbl案件[是否破獲]="是")*(Tbl案件[歸屬年度]=(YEAR(今日)-1911))),1)-14),"")</f>
        <v/>
      </c>
      <c r="H18" s="16">
        <f>IFERROR(INDEX(Tbl案件[備註],AGGREGATE(15,6,ROW(Tbl案件[編號])/((Tbl案件[承辦人]=B3)*(Tbl案件[是否破獲]="是")*(Tbl案件[歸屬年度]=(YEAR(今日)-1911))),1)-14),"")</f>
        <v/>
      </c>
    </row>
    <row r="19" ht="30" customHeight="1">
      <c r="A19" s="141">
        <f>IFERROR(IF(AGGREGATE(15,6,ROW(Tbl案件[編號])/((Tbl案件[承辦人]=B3)*(Tbl案件[是否破獲]="是")*(Tbl案件[歸屬年度]=(YEAR(今日)-1911))),2)&gt;0,2,""),"")</f>
        <v/>
      </c>
      <c r="B19" s="16">
        <f>IFERROR(INDEX(Tbl案件[案類],AGGREGATE(15,6,ROW(Tbl案件[編號])/((Tbl案件[承辦人]=B3)*(Tbl案件[是否破獲]="是")*(Tbl案件[歸屬年度]=(YEAR(今日)-1911))),2)-14),"")</f>
        <v/>
      </c>
      <c r="C19" s="126">
        <f>IFERROR(INDEX(Tbl案件[發生時間],AGGREGATE(15,6,ROW(Tbl案件[編號])/((Tbl案件[承辦人]=B3)*(Tbl案件[是否破獲]="是")*(Tbl案件[歸屬年度]=(YEAR(今日)-1911))),2)-14),"")</f>
        <v/>
      </c>
      <c r="D19" s="16">
        <f>IFERROR(INDEX(Tbl案件[發生地點],AGGREGATE(15,6,ROW(Tbl案件[編號])/((Tbl案件[承辦人]=B3)*(Tbl案件[是否破獲]="是")*(Tbl案件[歸屬年度]=(YEAR(今日)-1911))),2)-14),"")</f>
        <v/>
      </c>
      <c r="E19" s="126">
        <f>IFERROR(INDEX(Tbl案件[破獲時間],AGGREGATE(15,6,ROW(Tbl案件[編號])/((Tbl案件[承辦人]=B3)*(Tbl案件[是否破獲]="是")*(Tbl案件[歸屬年度]=(YEAR(今日)-1911))),2)-14),"")</f>
        <v/>
      </c>
      <c r="F19" s="15">
        <f>IFERROR(INDEX(Tbl案件[案件狀況],AGGREGATE(15,6,ROW(Tbl案件[編號])/((Tbl案件[承辦人]=B3)*(Tbl案件[是否破獲]="是")*(Tbl案件[歸屬年度]=(YEAR(今日)-1911))),2)-14),"")</f>
        <v/>
      </c>
      <c r="G19" s="141">
        <f>IFERROR(INDEX(Tbl案件[涉案金額],AGGREGATE(15,6,ROW(Tbl案件[編號])/((Tbl案件[承辦人]=B3)*(Tbl案件[是否破獲]="是")*(Tbl案件[歸屬年度]=(YEAR(今日)-1911))),2)-14),"")</f>
        <v/>
      </c>
      <c r="H19" s="16">
        <f>IFERROR(INDEX(Tbl案件[備註],AGGREGATE(15,6,ROW(Tbl案件[編號])/((Tbl案件[承辦人]=B3)*(Tbl案件[是否破獲]="是")*(Tbl案件[歸屬年度]=(YEAR(今日)-1911))),2)-14),"")</f>
        <v/>
      </c>
    </row>
    <row r="20" ht="30" customHeight="1">
      <c r="A20" s="141">
        <f>IFERROR(IF(AGGREGATE(15,6,ROW(Tbl案件[編號])/((Tbl案件[承辦人]=B3)*(Tbl案件[是否破獲]="是")*(Tbl案件[歸屬年度]=(YEAR(今日)-1911))),3)&gt;0,3,""),"")</f>
        <v/>
      </c>
      <c r="B20" s="16">
        <f>IFERROR(INDEX(Tbl案件[案類],AGGREGATE(15,6,ROW(Tbl案件[編號])/((Tbl案件[承辦人]=B3)*(Tbl案件[是否破獲]="是")*(Tbl案件[歸屬年度]=(YEAR(今日)-1911))),3)-14),"")</f>
        <v/>
      </c>
      <c r="C20" s="126">
        <f>IFERROR(INDEX(Tbl案件[發生時間],AGGREGATE(15,6,ROW(Tbl案件[編號])/((Tbl案件[承辦人]=B3)*(Tbl案件[是否破獲]="是")*(Tbl案件[歸屬年度]=(YEAR(今日)-1911))),3)-14),"")</f>
        <v/>
      </c>
      <c r="D20" s="16">
        <f>IFERROR(INDEX(Tbl案件[發生地點],AGGREGATE(15,6,ROW(Tbl案件[編號])/((Tbl案件[承辦人]=B3)*(Tbl案件[是否破獲]="是")*(Tbl案件[歸屬年度]=(YEAR(今日)-1911))),3)-14),"")</f>
        <v/>
      </c>
      <c r="E20" s="126">
        <f>IFERROR(INDEX(Tbl案件[破獲時間],AGGREGATE(15,6,ROW(Tbl案件[編號])/((Tbl案件[承辦人]=B3)*(Tbl案件[是否破獲]="是")*(Tbl案件[歸屬年度]=(YEAR(今日)-1911))),3)-14),"")</f>
        <v/>
      </c>
      <c r="F20" s="15">
        <f>IFERROR(INDEX(Tbl案件[案件狀況],AGGREGATE(15,6,ROW(Tbl案件[編號])/((Tbl案件[承辦人]=B3)*(Tbl案件[是否破獲]="是")*(Tbl案件[歸屬年度]=(YEAR(今日)-1911))),3)-14),"")</f>
        <v/>
      </c>
      <c r="G20" s="141">
        <f>IFERROR(INDEX(Tbl案件[涉案金額],AGGREGATE(15,6,ROW(Tbl案件[編號])/((Tbl案件[承辦人]=B3)*(Tbl案件[是否破獲]="是")*(Tbl案件[歸屬年度]=(YEAR(今日)-1911))),3)-14),"")</f>
        <v/>
      </c>
      <c r="H20" s="16">
        <f>IFERROR(INDEX(Tbl案件[備註],AGGREGATE(15,6,ROW(Tbl案件[編號])/((Tbl案件[承辦人]=B3)*(Tbl案件[是否破獲]="是")*(Tbl案件[歸屬年度]=(YEAR(今日)-1911))),3)-14),"")</f>
        <v/>
      </c>
    </row>
    <row r="21" ht="30" customHeight="1">
      <c r="A21" s="141">
        <f>IFERROR(IF(AGGREGATE(15,6,ROW(Tbl案件[編號])/((Tbl案件[承辦人]=B3)*(Tbl案件[是否破獲]="是")*(Tbl案件[歸屬年度]=(YEAR(今日)-1911))),4)&gt;0,4,""),"")</f>
        <v/>
      </c>
      <c r="B21" s="16">
        <f>IFERROR(INDEX(Tbl案件[案類],AGGREGATE(15,6,ROW(Tbl案件[編號])/((Tbl案件[承辦人]=B3)*(Tbl案件[是否破獲]="是")*(Tbl案件[歸屬年度]=(YEAR(今日)-1911))),4)-14),"")</f>
        <v/>
      </c>
      <c r="C21" s="126">
        <f>IFERROR(INDEX(Tbl案件[發生時間],AGGREGATE(15,6,ROW(Tbl案件[編號])/((Tbl案件[承辦人]=B3)*(Tbl案件[是否破獲]="是")*(Tbl案件[歸屬年度]=(YEAR(今日)-1911))),4)-14),"")</f>
        <v/>
      </c>
      <c r="D21" s="16">
        <f>IFERROR(INDEX(Tbl案件[發生地點],AGGREGATE(15,6,ROW(Tbl案件[編號])/((Tbl案件[承辦人]=B3)*(Tbl案件[是否破獲]="是")*(Tbl案件[歸屬年度]=(YEAR(今日)-1911))),4)-14),"")</f>
        <v/>
      </c>
      <c r="E21" s="126">
        <f>IFERROR(INDEX(Tbl案件[破獲時間],AGGREGATE(15,6,ROW(Tbl案件[編號])/((Tbl案件[承辦人]=B3)*(Tbl案件[是否破獲]="是")*(Tbl案件[歸屬年度]=(YEAR(今日)-1911))),4)-14),"")</f>
        <v/>
      </c>
      <c r="F21" s="15">
        <f>IFERROR(INDEX(Tbl案件[案件狀況],AGGREGATE(15,6,ROW(Tbl案件[編號])/((Tbl案件[承辦人]=B3)*(Tbl案件[是否破獲]="是")*(Tbl案件[歸屬年度]=(YEAR(今日)-1911))),4)-14),"")</f>
        <v/>
      </c>
      <c r="G21" s="141">
        <f>IFERROR(INDEX(Tbl案件[涉案金額],AGGREGATE(15,6,ROW(Tbl案件[編號])/((Tbl案件[承辦人]=B3)*(Tbl案件[是否破獲]="是")*(Tbl案件[歸屬年度]=(YEAR(今日)-1911))),4)-14),"")</f>
        <v/>
      </c>
      <c r="H21" s="16">
        <f>IFERROR(INDEX(Tbl案件[備註],AGGREGATE(15,6,ROW(Tbl案件[編號])/((Tbl案件[承辦人]=B3)*(Tbl案件[是否破獲]="是")*(Tbl案件[歸屬年度]=(YEAR(今日)-1911))),4)-14),"")</f>
        <v/>
      </c>
    </row>
    <row r="22" ht="30" customHeight="1">
      <c r="A22" s="141">
        <f>IFERROR(IF(AGGREGATE(15,6,ROW(Tbl案件[編號])/((Tbl案件[承辦人]=B3)*(Tbl案件[是否破獲]="是")*(Tbl案件[歸屬年度]=(YEAR(今日)-1911))),5)&gt;0,5,""),"")</f>
        <v/>
      </c>
      <c r="B22" s="16">
        <f>IFERROR(INDEX(Tbl案件[案類],AGGREGATE(15,6,ROW(Tbl案件[編號])/((Tbl案件[承辦人]=B3)*(Tbl案件[是否破獲]="是")*(Tbl案件[歸屬年度]=(YEAR(今日)-1911))),5)-14),"")</f>
        <v/>
      </c>
      <c r="C22" s="126">
        <f>IFERROR(INDEX(Tbl案件[發生時間],AGGREGATE(15,6,ROW(Tbl案件[編號])/((Tbl案件[承辦人]=B3)*(Tbl案件[是否破獲]="是")*(Tbl案件[歸屬年度]=(YEAR(今日)-1911))),5)-14),"")</f>
        <v/>
      </c>
      <c r="D22" s="16">
        <f>IFERROR(INDEX(Tbl案件[發生地點],AGGREGATE(15,6,ROW(Tbl案件[編號])/((Tbl案件[承辦人]=B3)*(Tbl案件[是否破獲]="是")*(Tbl案件[歸屬年度]=(YEAR(今日)-1911))),5)-14),"")</f>
        <v/>
      </c>
      <c r="E22" s="126">
        <f>IFERROR(INDEX(Tbl案件[破獲時間],AGGREGATE(15,6,ROW(Tbl案件[編號])/((Tbl案件[承辦人]=B3)*(Tbl案件[是否破獲]="是")*(Tbl案件[歸屬年度]=(YEAR(今日)-1911))),5)-14),"")</f>
        <v/>
      </c>
      <c r="F22" s="15">
        <f>IFERROR(INDEX(Tbl案件[案件狀況],AGGREGATE(15,6,ROW(Tbl案件[編號])/((Tbl案件[承辦人]=B3)*(Tbl案件[是否破獲]="是")*(Tbl案件[歸屬年度]=(YEAR(今日)-1911))),5)-14),"")</f>
        <v/>
      </c>
      <c r="G22" s="141">
        <f>IFERROR(INDEX(Tbl案件[涉案金額],AGGREGATE(15,6,ROW(Tbl案件[編號])/((Tbl案件[承辦人]=B3)*(Tbl案件[是否破獲]="是")*(Tbl案件[歸屬年度]=(YEAR(今日)-1911))),5)-14),"")</f>
        <v/>
      </c>
      <c r="H22" s="16">
        <f>IFERROR(INDEX(Tbl案件[備註],AGGREGATE(15,6,ROW(Tbl案件[編號])/((Tbl案件[承辦人]=B3)*(Tbl案件[是否破獲]="是")*(Tbl案件[歸屬年度]=(YEAR(今日)-1911))),5)-14),"")</f>
        <v/>
      </c>
    </row>
    <row r="23" ht="30" customHeight="1">
      <c r="A23" s="141">
        <f>IFERROR(IF(AGGREGATE(15,6,ROW(Tbl案件[編號])/((Tbl案件[承辦人]=B3)*(Tbl案件[是否破獲]="是")*(Tbl案件[歸屬年度]=(YEAR(今日)-1911))),6)&gt;0,6,""),"")</f>
        <v/>
      </c>
      <c r="B23" s="16">
        <f>IFERROR(INDEX(Tbl案件[案類],AGGREGATE(15,6,ROW(Tbl案件[編號])/((Tbl案件[承辦人]=B3)*(Tbl案件[是否破獲]="是")*(Tbl案件[歸屬年度]=(YEAR(今日)-1911))),6)-14),"")</f>
        <v/>
      </c>
      <c r="C23" s="126">
        <f>IFERROR(INDEX(Tbl案件[發生時間],AGGREGATE(15,6,ROW(Tbl案件[編號])/((Tbl案件[承辦人]=B3)*(Tbl案件[是否破獲]="是")*(Tbl案件[歸屬年度]=(YEAR(今日)-1911))),6)-14),"")</f>
        <v/>
      </c>
      <c r="D23" s="16">
        <f>IFERROR(INDEX(Tbl案件[發生地點],AGGREGATE(15,6,ROW(Tbl案件[編號])/((Tbl案件[承辦人]=B3)*(Tbl案件[是否破獲]="是")*(Tbl案件[歸屬年度]=(YEAR(今日)-1911))),6)-14),"")</f>
        <v/>
      </c>
      <c r="E23" s="126">
        <f>IFERROR(INDEX(Tbl案件[破獲時間],AGGREGATE(15,6,ROW(Tbl案件[編號])/((Tbl案件[承辦人]=B3)*(Tbl案件[是否破獲]="是")*(Tbl案件[歸屬年度]=(YEAR(今日)-1911))),6)-14),"")</f>
        <v/>
      </c>
      <c r="F23" s="15">
        <f>IFERROR(INDEX(Tbl案件[案件狀況],AGGREGATE(15,6,ROW(Tbl案件[編號])/((Tbl案件[承辦人]=B3)*(Tbl案件[是否破獲]="是")*(Tbl案件[歸屬年度]=(YEAR(今日)-1911))),6)-14),"")</f>
        <v/>
      </c>
      <c r="G23" s="141">
        <f>IFERROR(INDEX(Tbl案件[涉案金額],AGGREGATE(15,6,ROW(Tbl案件[編號])/((Tbl案件[承辦人]=B3)*(Tbl案件[是否破獲]="是")*(Tbl案件[歸屬年度]=(YEAR(今日)-1911))),6)-14),"")</f>
        <v/>
      </c>
      <c r="H23" s="16">
        <f>IFERROR(INDEX(Tbl案件[備註],AGGREGATE(15,6,ROW(Tbl案件[編號])/((Tbl案件[承辦人]=B3)*(Tbl案件[是否破獲]="是")*(Tbl案件[歸屬年度]=(YEAR(今日)-1911))),6)-14),"")</f>
        <v/>
      </c>
    </row>
    <row r="24" ht="30" customHeight="1">
      <c r="A24" s="141">
        <f>IFERROR(IF(AGGREGATE(15,6,ROW(Tbl案件[編號])/((Tbl案件[承辦人]=B3)*(Tbl案件[是否破獲]="是")*(Tbl案件[歸屬年度]=(YEAR(今日)-1911))),7)&gt;0,7,""),"")</f>
        <v/>
      </c>
      <c r="B24" s="16">
        <f>IFERROR(INDEX(Tbl案件[案類],AGGREGATE(15,6,ROW(Tbl案件[編號])/((Tbl案件[承辦人]=B3)*(Tbl案件[是否破獲]="是")*(Tbl案件[歸屬年度]=(YEAR(今日)-1911))),7)-14),"")</f>
        <v/>
      </c>
      <c r="C24" s="126">
        <f>IFERROR(INDEX(Tbl案件[發生時間],AGGREGATE(15,6,ROW(Tbl案件[編號])/((Tbl案件[承辦人]=B3)*(Tbl案件[是否破獲]="是")*(Tbl案件[歸屬年度]=(YEAR(今日)-1911))),7)-14),"")</f>
        <v/>
      </c>
      <c r="D24" s="16">
        <f>IFERROR(INDEX(Tbl案件[發生地點],AGGREGATE(15,6,ROW(Tbl案件[編號])/((Tbl案件[承辦人]=B3)*(Tbl案件[是否破獲]="是")*(Tbl案件[歸屬年度]=(YEAR(今日)-1911))),7)-14),"")</f>
        <v/>
      </c>
      <c r="E24" s="126">
        <f>IFERROR(INDEX(Tbl案件[破獲時間],AGGREGATE(15,6,ROW(Tbl案件[編號])/((Tbl案件[承辦人]=B3)*(Tbl案件[是否破獲]="是")*(Tbl案件[歸屬年度]=(YEAR(今日)-1911))),7)-14),"")</f>
        <v/>
      </c>
      <c r="F24" s="15">
        <f>IFERROR(INDEX(Tbl案件[案件狀況],AGGREGATE(15,6,ROW(Tbl案件[編號])/((Tbl案件[承辦人]=B3)*(Tbl案件[是否破獲]="是")*(Tbl案件[歸屬年度]=(YEAR(今日)-1911))),7)-14),"")</f>
        <v/>
      </c>
      <c r="G24" s="141">
        <f>IFERROR(INDEX(Tbl案件[涉案金額],AGGREGATE(15,6,ROW(Tbl案件[編號])/((Tbl案件[承辦人]=B3)*(Tbl案件[是否破獲]="是")*(Tbl案件[歸屬年度]=(YEAR(今日)-1911))),7)-14),"")</f>
        <v/>
      </c>
      <c r="H24" s="16">
        <f>IFERROR(INDEX(Tbl案件[備註],AGGREGATE(15,6,ROW(Tbl案件[編號])/((Tbl案件[承辦人]=B3)*(Tbl案件[是否破獲]="是")*(Tbl案件[歸屬年度]=(YEAR(今日)-1911))),7)-14),"")</f>
        <v/>
      </c>
    </row>
    <row r="25" ht="30" customHeight="1">
      <c r="A25" s="141">
        <f>IFERROR(IF(AGGREGATE(15,6,ROW(Tbl案件[編號])/((Tbl案件[承辦人]=B3)*(Tbl案件[是否破獲]="是")*(Tbl案件[歸屬年度]=(YEAR(今日)-1911))),8)&gt;0,8,""),"")</f>
        <v/>
      </c>
      <c r="B25" s="16">
        <f>IFERROR(INDEX(Tbl案件[案類],AGGREGATE(15,6,ROW(Tbl案件[編號])/((Tbl案件[承辦人]=B3)*(Tbl案件[是否破獲]="是")*(Tbl案件[歸屬年度]=(YEAR(今日)-1911))),8)-14),"")</f>
        <v/>
      </c>
      <c r="C25" s="126">
        <f>IFERROR(INDEX(Tbl案件[發生時間],AGGREGATE(15,6,ROW(Tbl案件[編號])/((Tbl案件[承辦人]=B3)*(Tbl案件[是否破獲]="是")*(Tbl案件[歸屬年度]=(YEAR(今日)-1911))),8)-14),"")</f>
        <v/>
      </c>
      <c r="D25" s="16">
        <f>IFERROR(INDEX(Tbl案件[發生地點],AGGREGATE(15,6,ROW(Tbl案件[編號])/((Tbl案件[承辦人]=B3)*(Tbl案件[是否破獲]="是")*(Tbl案件[歸屬年度]=(YEAR(今日)-1911))),8)-14),"")</f>
        <v/>
      </c>
      <c r="E25" s="126">
        <f>IFERROR(INDEX(Tbl案件[破獲時間],AGGREGATE(15,6,ROW(Tbl案件[編號])/((Tbl案件[承辦人]=B3)*(Tbl案件[是否破獲]="是")*(Tbl案件[歸屬年度]=(YEAR(今日)-1911))),8)-14),"")</f>
        <v/>
      </c>
      <c r="F25" s="15">
        <f>IFERROR(INDEX(Tbl案件[案件狀況],AGGREGATE(15,6,ROW(Tbl案件[編號])/((Tbl案件[承辦人]=B3)*(Tbl案件[是否破獲]="是")*(Tbl案件[歸屬年度]=(YEAR(今日)-1911))),8)-14),"")</f>
        <v/>
      </c>
      <c r="G25" s="141">
        <f>IFERROR(INDEX(Tbl案件[涉案金額],AGGREGATE(15,6,ROW(Tbl案件[編號])/((Tbl案件[承辦人]=B3)*(Tbl案件[是否破獲]="是")*(Tbl案件[歸屬年度]=(YEAR(今日)-1911))),8)-14),"")</f>
        <v/>
      </c>
      <c r="H25" s="16">
        <f>IFERROR(INDEX(Tbl案件[備註],AGGREGATE(15,6,ROW(Tbl案件[編號])/((Tbl案件[承辦人]=B3)*(Tbl案件[是否破獲]="是")*(Tbl案件[歸屬年度]=(YEAR(今日)-1911))),8)-14),"")</f>
        <v/>
      </c>
    </row>
    <row r="26" ht="30" customHeight="1">
      <c r="A26" s="141">
        <f>IFERROR(IF(AGGREGATE(15,6,ROW(Tbl案件[編號])/((Tbl案件[承辦人]=B3)*(Tbl案件[是否破獲]="是")*(Tbl案件[歸屬年度]=(YEAR(今日)-1911))),9)&gt;0,9,""),"")</f>
        <v/>
      </c>
      <c r="B26" s="16">
        <f>IFERROR(INDEX(Tbl案件[案類],AGGREGATE(15,6,ROW(Tbl案件[編號])/((Tbl案件[承辦人]=B3)*(Tbl案件[是否破獲]="是")*(Tbl案件[歸屬年度]=(YEAR(今日)-1911))),9)-14),"")</f>
        <v/>
      </c>
      <c r="C26" s="126">
        <f>IFERROR(INDEX(Tbl案件[發生時間],AGGREGATE(15,6,ROW(Tbl案件[編號])/((Tbl案件[承辦人]=B3)*(Tbl案件[是否破獲]="是")*(Tbl案件[歸屬年度]=(YEAR(今日)-1911))),9)-14),"")</f>
        <v/>
      </c>
      <c r="D26" s="16">
        <f>IFERROR(INDEX(Tbl案件[發生地點],AGGREGATE(15,6,ROW(Tbl案件[編號])/((Tbl案件[承辦人]=B3)*(Tbl案件[是否破獲]="是")*(Tbl案件[歸屬年度]=(YEAR(今日)-1911))),9)-14),"")</f>
        <v/>
      </c>
      <c r="E26" s="126">
        <f>IFERROR(INDEX(Tbl案件[破獲時間],AGGREGATE(15,6,ROW(Tbl案件[編號])/((Tbl案件[承辦人]=B3)*(Tbl案件[是否破獲]="是")*(Tbl案件[歸屬年度]=(YEAR(今日)-1911))),9)-14),"")</f>
        <v/>
      </c>
      <c r="F26" s="15">
        <f>IFERROR(INDEX(Tbl案件[案件狀況],AGGREGATE(15,6,ROW(Tbl案件[編號])/((Tbl案件[承辦人]=B3)*(Tbl案件[是否破獲]="是")*(Tbl案件[歸屬年度]=(YEAR(今日)-1911))),9)-14),"")</f>
        <v/>
      </c>
      <c r="G26" s="141">
        <f>IFERROR(INDEX(Tbl案件[涉案金額],AGGREGATE(15,6,ROW(Tbl案件[編號])/((Tbl案件[承辦人]=B3)*(Tbl案件[是否破獲]="是")*(Tbl案件[歸屬年度]=(YEAR(今日)-1911))),9)-14),"")</f>
        <v/>
      </c>
      <c r="H26" s="16">
        <f>IFERROR(INDEX(Tbl案件[備註],AGGREGATE(15,6,ROW(Tbl案件[編號])/((Tbl案件[承辦人]=B3)*(Tbl案件[是否破獲]="是")*(Tbl案件[歸屬年度]=(YEAR(今日)-1911))),9)-14),"")</f>
        <v/>
      </c>
    </row>
    <row r="27" ht="30" customHeight="1">
      <c r="A27" s="141">
        <f>IFERROR(IF(AGGREGATE(15,6,ROW(Tbl案件[編號])/((Tbl案件[承辦人]=B3)*(Tbl案件[是否破獲]="是")*(Tbl案件[歸屬年度]=(YEAR(今日)-1911))),10)&gt;0,10,""),"")</f>
        <v/>
      </c>
      <c r="B27" s="16">
        <f>IFERROR(INDEX(Tbl案件[案類],AGGREGATE(15,6,ROW(Tbl案件[編號])/((Tbl案件[承辦人]=B3)*(Tbl案件[是否破獲]="是")*(Tbl案件[歸屬年度]=(YEAR(今日)-1911))),10)-14),"")</f>
        <v/>
      </c>
      <c r="C27" s="126">
        <f>IFERROR(INDEX(Tbl案件[發生時間],AGGREGATE(15,6,ROW(Tbl案件[編號])/((Tbl案件[承辦人]=B3)*(Tbl案件[是否破獲]="是")*(Tbl案件[歸屬年度]=(YEAR(今日)-1911))),10)-14),"")</f>
        <v/>
      </c>
      <c r="D27" s="16">
        <f>IFERROR(INDEX(Tbl案件[發生地點],AGGREGATE(15,6,ROW(Tbl案件[編號])/((Tbl案件[承辦人]=B3)*(Tbl案件[是否破獲]="是")*(Tbl案件[歸屬年度]=(YEAR(今日)-1911))),10)-14),"")</f>
        <v/>
      </c>
      <c r="E27" s="126">
        <f>IFERROR(INDEX(Tbl案件[破獲時間],AGGREGATE(15,6,ROW(Tbl案件[編號])/((Tbl案件[承辦人]=B3)*(Tbl案件[是否破獲]="是")*(Tbl案件[歸屬年度]=(YEAR(今日)-1911))),10)-14),"")</f>
        <v/>
      </c>
      <c r="F27" s="15">
        <f>IFERROR(INDEX(Tbl案件[案件狀況],AGGREGATE(15,6,ROW(Tbl案件[編號])/((Tbl案件[承辦人]=B3)*(Tbl案件[是否破獲]="是")*(Tbl案件[歸屬年度]=(YEAR(今日)-1911))),10)-14),"")</f>
        <v/>
      </c>
      <c r="G27" s="141">
        <f>IFERROR(INDEX(Tbl案件[涉案金額],AGGREGATE(15,6,ROW(Tbl案件[編號])/((Tbl案件[承辦人]=B3)*(Tbl案件[是否破獲]="是")*(Tbl案件[歸屬年度]=(YEAR(今日)-1911))),10)-14),"")</f>
        <v/>
      </c>
      <c r="H27" s="16">
        <f>IFERROR(INDEX(Tbl案件[備註],AGGREGATE(15,6,ROW(Tbl案件[編號])/((Tbl案件[承辦人]=B3)*(Tbl案件[是否破獲]="是")*(Tbl案件[歸屬年度]=(YEAR(今日)-1911))),10)-14),"")</f>
        <v/>
      </c>
    </row>
    <row r="28" ht="30" customHeight="1">
      <c r="A28" s="141">
        <f>IFERROR(IF(AGGREGATE(15,6,ROW(Tbl案件[編號])/((Tbl案件[承辦人]=B3)*(Tbl案件[是否破獲]="是")*(Tbl案件[歸屬年度]=(YEAR(今日)-1911))),11)&gt;0,11,""),"")</f>
        <v/>
      </c>
      <c r="B28" s="16">
        <f>IFERROR(INDEX(Tbl案件[案類],AGGREGATE(15,6,ROW(Tbl案件[編號])/((Tbl案件[承辦人]=B3)*(Tbl案件[是否破獲]="是")*(Tbl案件[歸屬年度]=(YEAR(今日)-1911))),11)-14),"")</f>
        <v/>
      </c>
      <c r="C28" s="126">
        <f>IFERROR(INDEX(Tbl案件[發生時間],AGGREGATE(15,6,ROW(Tbl案件[編號])/((Tbl案件[承辦人]=B3)*(Tbl案件[是否破獲]="是")*(Tbl案件[歸屬年度]=(YEAR(今日)-1911))),11)-14),"")</f>
        <v/>
      </c>
      <c r="D28" s="16">
        <f>IFERROR(INDEX(Tbl案件[發生地點],AGGREGATE(15,6,ROW(Tbl案件[編號])/((Tbl案件[承辦人]=B3)*(Tbl案件[是否破獲]="是")*(Tbl案件[歸屬年度]=(YEAR(今日)-1911))),11)-14),"")</f>
        <v/>
      </c>
      <c r="E28" s="126">
        <f>IFERROR(INDEX(Tbl案件[破獲時間],AGGREGATE(15,6,ROW(Tbl案件[編號])/((Tbl案件[承辦人]=B3)*(Tbl案件[是否破獲]="是")*(Tbl案件[歸屬年度]=(YEAR(今日)-1911))),11)-14),"")</f>
        <v/>
      </c>
      <c r="F28" s="15">
        <f>IFERROR(INDEX(Tbl案件[案件狀況],AGGREGATE(15,6,ROW(Tbl案件[編號])/((Tbl案件[承辦人]=B3)*(Tbl案件[是否破獲]="是")*(Tbl案件[歸屬年度]=(YEAR(今日)-1911))),11)-14),"")</f>
        <v/>
      </c>
      <c r="G28" s="141">
        <f>IFERROR(INDEX(Tbl案件[涉案金額],AGGREGATE(15,6,ROW(Tbl案件[編號])/((Tbl案件[承辦人]=B3)*(Tbl案件[是否破獲]="是")*(Tbl案件[歸屬年度]=(YEAR(今日)-1911))),11)-14),"")</f>
        <v/>
      </c>
      <c r="H28" s="16">
        <f>IFERROR(INDEX(Tbl案件[備註],AGGREGATE(15,6,ROW(Tbl案件[編號])/((Tbl案件[承辦人]=B3)*(Tbl案件[是否破獲]="是")*(Tbl案件[歸屬年度]=(YEAR(今日)-1911))),11)-14),"")</f>
        <v/>
      </c>
    </row>
    <row r="29" ht="30" customHeight="1">
      <c r="A29" s="141">
        <f>IFERROR(IF(AGGREGATE(15,6,ROW(Tbl案件[編號])/((Tbl案件[承辦人]=B3)*(Tbl案件[是否破獲]="是")*(Tbl案件[歸屬年度]=(YEAR(今日)-1911))),12)&gt;0,12,""),"")</f>
        <v/>
      </c>
      <c r="B29" s="16">
        <f>IFERROR(INDEX(Tbl案件[案類],AGGREGATE(15,6,ROW(Tbl案件[編號])/((Tbl案件[承辦人]=B3)*(Tbl案件[是否破獲]="是")*(Tbl案件[歸屬年度]=(YEAR(今日)-1911))),12)-14),"")</f>
        <v/>
      </c>
      <c r="C29" s="126">
        <f>IFERROR(INDEX(Tbl案件[發生時間],AGGREGATE(15,6,ROW(Tbl案件[編號])/((Tbl案件[承辦人]=B3)*(Tbl案件[是否破獲]="是")*(Tbl案件[歸屬年度]=(YEAR(今日)-1911))),12)-14),"")</f>
        <v/>
      </c>
      <c r="D29" s="16">
        <f>IFERROR(INDEX(Tbl案件[發生地點],AGGREGATE(15,6,ROW(Tbl案件[編號])/((Tbl案件[承辦人]=B3)*(Tbl案件[是否破獲]="是")*(Tbl案件[歸屬年度]=(YEAR(今日)-1911))),12)-14),"")</f>
        <v/>
      </c>
      <c r="E29" s="126">
        <f>IFERROR(INDEX(Tbl案件[破獲時間],AGGREGATE(15,6,ROW(Tbl案件[編號])/((Tbl案件[承辦人]=B3)*(Tbl案件[是否破獲]="是")*(Tbl案件[歸屬年度]=(YEAR(今日)-1911))),12)-14),"")</f>
        <v/>
      </c>
      <c r="F29" s="15">
        <f>IFERROR(INDEX(Tbl案件[案件狀況],AGGREGATE(15,6,ROW(Tbl案件[編號])/((Tbl案件[承辦人]=B3)*(Tbl案件[是否破獲]="是")*(Tbl案件[歸屬年度]=(YEAR(今日)-1911))),12)-14),"")</f>
        <v/>
      </c>
      <c r="G29" s="141">
        <f>IFERROR(INDEX(Tbl案件[涉案金額],AGGREGATE(15,6,ROW(Tbl案件[編號])/((Tbl案件[承辦人]=B3)*(Tbl案件[是否破獲]="是")*(Tbl案件[歸屬年度]=(YEAR(今日)-1911))),12)-14),"")</f>
        <v/>
      </c>
      <c r="H29" s="16">
        <f>IFERROR(INDEX(Tbl案件[備註],AGGREGATE(15,6,ROW(Tbl案件[編號])/((Tbl案件[承辦人]=B3)*(Tbl案件[是否破獲]="是")*(Tbl案件[歸屬年度]=(YEAR(今日)-1911))),12)-14),"")</f>
        <v/>
      </c>
    </row>
    <row r="30" ht="30" customHeight="1">
      <c r="A30" s="141">
        <f>IFERROR(IF(AGGREGATE(15,6,ROW(Tbl案件[編號])/((Tbl案件[承辦人]=B3)*(Tbl案件[是否破獲]="是")*(Tbl案件[歸屬年度]=(YEAR(今日)-1911))),13)&gt;0,13,""),"")</f>
        <v/>
      </c>
      <c r="B30" s="16">
        <f>IFERROR(INDEX(Tbl案件[案類],AGGREGATE(15,6,ROW(Tbl案件[編號])/((Tbl案件[承辦人]=B3)*(Tbl案件[是否破獲]="是")*(Tbl案件[歸屬年度]=(YEAR(今日)-1911))),13)-14),"")</f>
        <v/>
      </c>
      <c r="C30" s="126">
        <f>IFERROR(INDEX(Tbl案件[發生時間],AGGREGATE(15,6,ROW(Tbl案件[編號])/((Tbl案件[承辦人]=B3)*(Tbl案件[是否破獲]="是")*(Tbl案件[歸屬年度]=(YEAR(今日)-1911))),13)-14),"")</f>
        <v/>
      </c>
      <c r="D30" s="16">
        <f>IFERROR(INDEX(Tbl案件[發生地點],AGGREGATE(15,6,ROW(Tbl案件[編號])/((Tbl案件[承辦人]=B3)*(Tbl案件[是否破獲]="是")*(Tbl案件[歸屬年度]=(YEAR(今日)-1911))),13)-14),"")</f>
        <v/>
      </c>
      <c r="E30" s="126">
        <f>IFERROR(INDEX(Tbl案件[破獲時間],AGGREGATE(15,6,ROW(Tbl案件[編號])/((Tbl案件[承辦人]=B3)*(Tbl案件[是否破獲]="是")*(Tbl案件[歸屬年度]=(YEAR(今日)-1911))),13)-14),"")</f>
        <v/>
      </c>
      <c r="F30" s="15">
        <f>IFERROR(INDEX(Tbl案件[案件狀況],AGGREGATE(15,6,ROW(Tbl案件[編號])/((Tbl案件[承辦人]=B3)*(Tbl案件[是否破獲]="是")*(Tbl案件[歸屬年度]=(YEAR(今日)-1911))),13)-14),"")</f>
        <v/>
      </c>
      <c r="G30" s="141">
        <f>IFERROR(INDEX(Tbl案件[涉案金額],AGGREGATE(15,6,ROW(Tbl案件[編號])/((Tbl案件[承辦人]=B3)*(Tbl案件[是否破獲]="是")*(Tbl案件[歸屬年度]=(YEAR(今日)-1911))),13)-14),"")</f>
        <v/>
      </c>
      <c r="H30" s="16">
        <f>IFERROR(INDEX(Tbl案件[備註],AGGREGATE(15,6,ROW(Tbl案件[編號])/((Tbl案件[承辦人]=B3)*(Tbl案件[是否破獲]="是")*(Tbl案件[歸屬年度]=(YEAR(今日)-1911))),13)-14),"")</f>
        <v/>
      </c>
    </row>
    <row r="31" ht="30" customHeight="1">
      <c r="A31" s="141">
        <f>IFERROR(IF(AGGREGATE(15,6,ROW(Tbl案件[編號])/((Tbl案件[承辦人]=B3)*(Tbl案件[是否破獲]="是")*(Tbl案件[歸屬年度]=(YEAR(今日)-1911))),14)&gt;0,14,""),"")</f>
        <v/>
      </c>
      <c r="B31" s="16">
        <f>IFERROR(INDEX(Tbl案件[案類],AGGREGATE(15,6,ROW(Tbl案件[編號])/((Tbl案件[承辦人]=B3)*(Tbl案件[是否破獲]="是")*(Tbl案件[歸屬年度]=(YEAR(今日)-1911))),14)-14),"")</f>
        <v/>
      </c>
      <c r="C31" s="126">
        <f>IFERROR(INDEX(Tbl案件[發生時間],AGGREGATE(15,6,ROW(Tbl案件[編號])/((Tbl案件[承辦人]=B3)*(Tbl案件[是否破獲]="是")*(Tbl案件[歸屬年度]=(YEAR(今日)-1911))),14)-14),"")</f>
        <v/>
      </c>
      <c r="D31" s="16">
        <f>IFERROR(INDEX(Tbl案件[發生地點],AGGREGATE(15,6,ROW(Tbl案件[編號])/((Tbl案件[承辦人]=B3)*(Tbl案件[是否破獲]="是")*(Tbl案件[歸屬年度]=(YEAR(今日)-1911))),14)-14),"")</f>
        <v/>
      </c>
      <c r="E31" s="126">
        <f>IFERROR(INDEX(Tbl案件[破獲時間],AGGREGATE(15,6,ROW(Tbl案件[編號])/((Tbl案件[承辦人]=B3)*(Tbl案件[是否破獲]="是")*(Tbl案件[歸屬年度]=(YEAR(今日)-1911))),14)-14),"")</f>
        <v/>
      </c>
      <c r="F31" s="15">
        <f>IFERROR(INDEX(Tbl案件[案件狀況],AGGREGATE(15,6,ROW(Tbl案件[編號])/((Tbl案件[承辦人]=B3)*(Tbl案件[是否破獲]="是")*(Tbl案件[歸屬年度]=(YEAR(今日)-1911))),14)-14),"")</f>
        <v/>
      </c>
      <c r="G31" s="141">
        <f>IFERROR(INDEX(Tbl案件[涉案金額],AGGREGATE(15,6,ROW(Tbl案件[編號])/((Tbl案件[承辦人]=B3)*(Tbl案件[是否破獲]="是")*(Tbl案件[歸屬年度]=(YEAR(今日)-1911))),14)-14),"")</f>
        <v/>
      </c>
      <c r="H31" s="16">
        <f>IFERROR(INDEX(Tbl案件[備註],AGGREGATE(15,6,ROW(Tbl案件[編號])/((Tbl案件[承辦人]=B3)*(Tbl案件[是否破獲]="是")*(Tbl案件[歸屬年度]=(YEAR(今日)-1911))),14)-14),"")</f>
        <v/>
      </c>
    </row>
    <row r="32" ht="30" customHeight="1">
      <c r="A32" s="141">
        <f>IFERROR(IF(AGGREGATE(15,6,ROW(Tbl案件[編號])/((Tbl案件[承辦人]=B3)*(Tbl案件[是否破獲]="是")*(Tbl案件[歸屬年度]=(YEAR(今日)-1911))),15)&gt;0,15,""),"")</f>
        <v/>
      </c>
      <c r="B32" s="16">
        <f>IFERROR(INDEX(Tbl案件[案類],AGGREGATE(15,6,ROW(Tbl案件[編號])/((Tbl案件[承辦人]=B3)*(Tbl案件[是否破獲]="是")*(Tbl案件[歸屬年度]=(YEAR(今日)-1911))),15)-14),"")</f>
        <v/>
      </c>
      <c r="C32" s="126">
        <f>IFERROR(INDEX(Tbl案件[發生時間],AGGREGATE(15,6,ROW(Tbl案件[編號])/((Tbl案件[承辦人]=B3)*(Tbl案件[是否破獲]="是")*(Tbl案件[歸屬年度]=(YEAR(今日)-1911))),15)-14),"")</f>
        <v/>
      </c>
      <c r="D32" s="16">
        <f>IFERROR(INDEX(Tbl案件[發生地點],AGGREGATE(15,6,ROW(Tbl案件[編號])/((Tbl案件[承辦人]=B3)*(Tbl案件[是否破獲]="是")*(Tbl案件[歸屬年度]=(YEAR(今日)-1911))),15)-14),"")</f>
        <v/>
      </c>
      <c r="E32" s="126">
        <f>IFERROR(INDEX(Tbl案件[破獲時間],AGGREGATE(15,6,ROW(Tbl案件[編號])/((Tbl案件[承辦人]=B3)*(Tbl案件[是否破獲]="是")*(Tbl案件[歸屬年度]=(YEAR(今日)-1911))),15)-14),"")</f>
        <v/>
      </c>
      <c r="F32" s="15">
        <f>IFERROR(INDEX(Tbl案件[案件狀況],AGGREGATE(15,6,ROW(Tbl案件[編號])/((Tbl案件[承辦人]=B3)*(Tbl案件[是否破獲]="是")*(Tbl案件[歸屬年度]=(YEAR(今日)-1911))),15)-14),"")</f>
        <v/>
      </c>
      <c r="G32" s="141">
        <f>IFERROR(INDEX(Tbl案件[涉案金額],AGGREGATE(15,6,ROW(Tbl案件[編號])/((Tbl案件[承辦人]=B3)*(Tbl案件[是否破獲]="是")*(Tbl案件[歸屬年度]=(YEAR(今日)-1911))),15)-14),"")</f>
        <v/>
      </c>
      <c r="H32" s="16">
        <f>IFERROR(INDEX(Tbl案件[備註],AGGREGATE(15,6,ROW(Tbl案件[編號])/((Tbl案件[承辦人]=B3)*(Tbl案件[是否破獲]="是")*(Tbl案件[歸屬年度]=(YEAR(今日)-1911))),15)-14),"")</f>
        <v/>
      </c>
    </row>
    <row r="33" ht="30" customHeight="1">
      <c r="A33" s="141">
        <f>IFERROR(IF(AGGREGATE(15,6,ROW(Tbl案件[編號])/((Tbl案件[承辦人]=B3)*(Tbl案件[是否破獲]="是")*(Tbl案件[歸屬年度]=(YEAR(今日)-1911))),16)&gt;0,16,""),"")</f>
        <v/>
      </c>
      <c r="B33" s="16">
        <f>IFERROR(INDEX(Tbl案件[案類],AGGREGATE(15,6,ROW(Tbl案件[編號])/((Tbl案件[承辦人]=B3)*(Tbl案件[是否破獲]="是")*(Tbl案件[歸屬年度]=(YEAR(今日)-1911))),16)-14),"")</f>
        <v/>
      </c>
      <c r="C33" s="126">
        <f>IFERROR(INDEX(Tbl案件[發生時間],AGGREGATE(15,6,ROW(Tbl案件[編號])/((Tbl案件[承辦人]=B3)*(Tbl案件[是否破獲]="是")*(Tbl案件[歸屬年度]=(YEAR(今日)-1911))),16)-14),"")</f>
        <v/>
      </c>
      <c r="D33" s="16">
        <f>IFERROR(INDEX(Tbl案件[發生地點],AGGREGATE(15,6,ROW(Tbl案件[編號])/((Tbl案件[承辦人]=B3)*(Tbl案件[是否破獲]="是")*(Tbl案件[歸屬年度]=(YEAR(今日)-1911))),16)-14),"")</f>
        <v/>
      </c>
      <c r="E33" s="126">
        <f>IFERROR(INDEX(Tbl案件[破獲時間],AGGREGATE(15,6,ROW(Tbl案件[編號])/((Tbl案件[承辦人]=B3)*(Tbl案件[是否破獲]="是")*(Tbl案件[歸屬年度]=(YEAR(今日)-1911))),16)-14),"")</f>
        <v/>
      </c>
      <c r="F33" s="15">
        <f>IFERROR(INDEX(Tbl案件[案件狀況],AGGREGATE(15,6,ROW(Tbl案件[編號])/((Tbl案件[承辦人]=B3)*(Tbl案件[是否破獲]="是")*(Tbl案件[歸屬年度]=(YEAR(今日)-1911))),16)-14),"")</f>
        <v/>
      </c>
      <c r="G33" s="141">
        <f>IFERROR(INDEX(Tbl案件[涉案金額],AGGREGATE(15,6,ROW(Tbl案件[編號])/((Tbl案件[承辦人]=B3)*(Tbl案件[是否破獲]="是")*(Tbl案件[歸屬年度]=(YEAR(今日)-1911))),16)-14),"")</f>
        <v/>
      </c>
      <c r="H33" s="16">
        <f>IFERROR(INDEX(Tbl案件[備註],AGGREGATE(15,6,ROW(Tbl案件[編號])/((Tbl案件[承辦人]=B3)*(Tbl案件[是否破獲]="是")*(Tbl案件[歸屬年度]=(YEAR(今日)-1911))),16)-14),"")</f>
        <v/>
      </c>
    </row>
    <row r="34" ht="30" customHeight="1">
      <c r="A34" s="141">
        <f>IFERROR(IF(AGGREGATE(15,6,ROW(Tbl案件[編號])/((Tbl案件[承辦人]=B3)*(Tbl案件[是否破獲]="是")*(Tbl案件[歸屬年度]=(YEAR(今日)-1911))),17)&gt;0,17,""),"")</f>
        <v/>
      </c>
      <c r="B34" s="16">
        <f>IFERROR(INDEX(Tbl案件[案類],AGGREGATE(15,6,ROW(Tbl案件[編號])/((Tbl案件[承辦人]=B3)*(Tbl案件[是否破獲]="是")*(Tbl案件[歸屬年度]=(YEAR(今日)-1911))),17)-14),"")</f>
        <v/>
      </c>
      <c r="C34" s="126">
        <f>IFERROR(INDEX(Tbl案件[發生時間],AGGREGATE(15,6,ROW(Tbl案件[編號])/((Tbl案件[承辦人]=B3)*(Tbl案件[是否破獲]="是")*(Tbl案件[歸屬年度]=(YEAR(今日)-1911))),17)-14),"")</f>
        <v/>
      </c>
      <c r="D34" s="16">
        <f>IFERROR(INDEX(Tbl案件[發生地點],AGGREGATE(15,6,ROW(Tbl案件[編號])/((Tbl案件[承辦人]=B3)*(Tbl案件[是否破獲]="是")*(Tbl案件[歸屬年度]=(YEAR(今日)-1911))),17)-14),"")</f>
        <v/>
      </c>
      <c r="E34" s="126">
        <f>IFERROR(INDEX(Tbl案件[破獲時間],AGGREGATE(15,6,ROW(Tbl案件[編號])/((Tbl案件[承辦人]=B3)*(Tbl案件[是否破獲]="是")*(Tbl案件[歸屬年度]=(YEAR(今日)-1911))),17)-14),"")</f>
        <v/>
      </c>
      <c r="F34" s="15">
        <f>IFERROR(INDEX(Tbl案件[案件狀況],AGGREGATE(15,6,ROW(Tbl案件[編號])/((Tbl案件[承辦人]=B3)*(Tbl案件[是否破獲]="是")*(Tbl案件[歸屬年度]=(YEAR(今日)-1911))),17)-14),"")</f>
        <v/>
      </c>
      <c r="G34" s="141">
        <f>IFERROR(INDEX(Tbl案件[涉案金額],AGGREGATE(15,6,ROW(Tbl案件[編號])/((Tbl案件[承辦人]=B3)*(Tbl案件[是否破獲]="是")*(Tbl案件[歸屬年度]=(YEAR(今日)-1911))),17)-14),"")</f>
        <v/>
      </c>
      <c r="H34" s="16">
        <f>IFERROR(INDEX(Tbl案件[備註],AGGREGATE(15,6,ROW(Tbl案件[編號])/((Tbl案件[承辦人]=B3)*(Tbl案件[是否破獲]="是")*(Tbl案件[歸屬年度]=(YEAR(今日)-1911))),17)-14),"")</f>
        <v/>
      </c>
    </row>
    <row r="35" ht="30" customHeight="1">
      <c r="A35" s="141">
        <f>IFERROR(IF(AGGREGATE(15,6,ROW(Tbl案件[編號])/((Tbl案件[承辦人]=B3)*(Tbl案件[是否破獲]="是")*(Tbl案件[歸屬年度]=(YEAR(今日)-1911))),18)&gt;0,18,""),"")</f>
        <v/>
      </c>
      <c r="B35" s="16">
        <f>IFERROR(INDEX(Tbl案件[案類],AGGREGATE(15,6,ROW(Tbl案件[編號])/((Tbl案件[承辦人]=B3)*(Tbl案件[是否破獲]="是")*(Tbl案件[歸屬年度]=(YEAR(今日)-1911))),18)-14),"")</f>
        <v/>
      </c>
      <c r="C35" s="126">
        <f>IFERROR(INDEX(Tbl案件[發生時間],AGGREGATE(15,6,ROW(Tbl案件[編號])/((Tbl案件[承辦人]=B3)*(Tbl案件[是否破獲]="是")*(Tbl案件[歸屬年度]=(YEAR(今日)-1911))),18)-14),"")</f>
        <v/>
      </c>
      <c r="D35" s="16">
        <f>IFERROR(INDEX(Tbl案件[發生地點],AGGREGATE(15,6,ROW(Tbl案件[編號])/((Tbl案件[承辦人]=B3)*(Tbl案件[是否破獲]="是")*(Tbl案件[歸屬年度]=(YEAR(今日)-1911))),18)-14),"")</f>
        <v/>
      </c>
      <c r="E35" s="126">
        <f>IFERROR(INDEX(Tbl案件[破獲時間],AGGREGATE(15,6,ROW(Tbl案件[編號])/((Tbl案件[承辦人]=B3)*(Tbl案件[是否破獲]="是")*(Tbl案件[歸屬年度]=(YEAR(今日)-1911))),18)-14),"")</f>
        <v/>
      </c>
      <c r="F35" s="15">
        <f>IFERROR(INDEX(Tbl案件[案件狀況],AGGREGATE(15,6,ROW(Tbl案件[編號])/((Tbl案件[承辦人]=B3)*(Tbl案件[是否破獲]="是")*(Tbl案件[歸屬年度]=(YEAR(今日)-1911))),18)-14),"")</f>
        <v/>
      </c>
      <c r="G35" s="141">
        <f>IFERROR(INDEX(Tbl案件[涉案金額],AGGREGATE(15,6,ROW(Tbl案件[編號])/((Tbl案件[承辦人]=B3)*(Tbl案件[是否破獲]="是")*(Tbl案件[歸屬年度]=(YEAR(今日)-1911))),18)-14),"")</f>
        <v/>
      </c>
      <c r="H35" s="16">
        <f>IFERROR(INDEX(Tbl案件[備註],AGGREGATE(15,6,ROW(Tbl案件[編號])/((Tbl案件[承辦人]=B3)*(Tbl案件[是否破獲]="是")*(Tbl案件[歸屬年度]=(YEAR(今日)-1911))),18)-14),"")</f>
        <v/>
      </c>
    </row>
    <row r="36" ht="30" customHeight="1">
      <c r="A36" s="141">
        <f>IFERROR(IF(AGGREGATE(15,6,ROW(Tbl案件[編號])/((Tbl案件[承辦人]=B3)*(Tbl案件[是否破獲]="是")*(Tbl案件[歸屬年度]=(YEAR(今日)-1911))),19)&gt;0,19,""),"")</f>
        <v/>
      </c>
      <c r="B36" s="16">
        <f>IFERROR(INDEX(Tbl案件[案類],AGGREGATE(15,6,ROW(Tbl案件[編號])/((Tbl案件[承辦人]=B3)*(Tbl案件[是否破獲]="是")*(Tbl案件[歸屬年度]=(YEAR(今日)-1911))),19)-14),"")</f>
        <v/>
      </c>
      <c r="C36" s="126">
        <f>IFERROR(INDEX(Tbl案件[發生時間],AGGREGATE(15,6,ROW(Tbl案件[編號])/((Tbl案件[承辦人]=B3)*(Tbl案件[是否破獲]="是")*(Tbl案件[歸屬年度]=(YEAR(今日)-1911))),19)-14),"")</f>
        <v/>
      </c>
      <c r="D36" s="16">
        <f>IFERROR(INDEX(Tbl案件[發生地點],AGGREGATE(15,6,ROW(Tbl案件[編號])/((Tbl案件[承辦人]=B3)*(Tbl案件[是否破獲]="是")*(Tbl案件[歸屬年度]=(YEAR(今日)-1911))),19)-14),"")</f>
        <v/>
      </c>
      <c r="E36" s="126">
        <f>IFERROR(INDEX(Tbl案件[破獲時間],AGGREGATE(15,6,ROW(Tbl案件[編號])/((Tbl案件[承辦人]=B3)*(Tbl案件[是否破獲]="是")*(Tbl案件[歸屬年度]=(YEAR(今日)-1911))),19)-14),"")</f>
        <v/>
      </c>
      <c r="F36" s="15">
        <f>IFERROR(INDEX(Tbl案件[案件狀況],AGGREGATE(15,6,ROW(Tbl案件[編號])/((Tbl案件[承辦人]=B3)*(Tbl案件[是否破獲]="是")*(Tbl案件[歸屬年度]=(YEAR(今日)-1911))),19)-14),"")</f>
        <v/>
      </c>
      <c r="G36" s="141">
        <f>IFERROR(INDEX(Tbl案件[涉案金額],AGGREGATE(15,6,ROW(Tbl案件[編號])/((Tbl案件[承辦人]=B3)*(Tbl案件[是否破獲]="是")*(Tbl案件[歸屬年度]=(YEAR(今日)-1911))),19)-14),"")</f>
        <v/>
      </c>
      <c r="H36" s="16">
        <f>IFERROR(INDEX(Tbl案件[備註],AGGREGATE(15,6,ROW(Tbl案件[編號])/((Tbl案件[承辦人]=B3)*(Tbl案件[是否破獲]="是")*(Tbl案件[歸屬年度]=(YEAR(今日)-1911))),19)-14),"")</f>
        <v/>
      </c>
    </row>
    <row r="37" ht="30" customHeight="1">
      <c r="A37" s="141">
        <f>IFERROR(IF(AGGREGATE(15,6,ROW(Tbl案件[編號])/((Tbl案件[承辦人]=B3)*(Tbl案件[是否破獲]="是")*(Tbl案件[歸屬年度]=(YEAR(今日)-1911))),20)&gt;0,20,""),"")</f>
        <v/>
      </c>
      <c r="B37" s="16">
        <f>IFERROR(INDEX(Tbl案件[案類],AGGREGATE(15,6,ROW(Tbl案件[編號])/((Tbl案件[承辦人]=B3)*(Tbl案件[是否破獲]="是")*(Tbl案件[歸屬年度]=(YEAR(今日)-1911))),20)-14),"")</f>
        <v/>
      </c>
      <c r="C37" s="126">
        <f>IFERROR(INDEX(Tbl案件[發生時間],AGGREGATE(15,6,ROW(Tbl案件[編號])/((Tbl案件[承辦人]=B3)*(Tbl案件[是否破獲]="是")*(Tbl案件[歸屬年度]=(YEAR(今日)-1911))),20)-14),"")</f>
        <v/>
      </c>
      <c r="D37" s="16">
        <f>IFERROR(INDEX(Tbl案件[發生地點],AGGREGATE(15,6,ROW(Tbl案件[編號])/((Tbl案件[承辦人]=B3)*(Tbl案件[是否破獲]="是")*(Tbl案件[歸屬年度]=(YEAR(今日)-1911))),20)-14),"")</f>
        <v/>
      </c>
      <c r="E37" s="126">
        <f>IFERROR(INDEX(Tbl案件[破獲時間],AGGREGATE(15,6,ROW(Tbl案件[編號])/((Tbl案件[承辦人]=B3)*(Tbl案件[是否破獲]="是")*(Tbl案件[歸屬年度]=(YEAR(今日)-1911))),20)-14),"")</f>
        <v/>
      </c>
      <c r="F37" s="15">
        <f>IFERROR(INDEX(Tbl案件[案件狀況],AGGREGATE(15,6,ROW(Tbl案件[編號])/((Tbl案件[承辦人]=B3)*(Tbl案件[是否破獲]="是")*(Tbl案件[歸屬年度]=(YEAR(今日)-1911))),20)-14),"")</f>
        <v/>
      </c>
      <c r="G37" s="141">
        <f>IFERROR(INDEX(Tbl案件[涉案金額],AGGREGATE(15,6,ROW(Tbl案件[編號])/((Tbl案件[承辦人]=B3)*(Tbl案件[是否破獲]="是")*(Tbl案件[歸屬年度]=(YEAR(今日)-1911))),20)-14),"")</f>
        <v/>
      </c>
      <c r="H37" s="16">
        <f>IFERROR(INDEX(Tbl案件[備註],AGGREGATE(15,6,ROW(Tbl案件[編號])/((Tbl案件[承辦人]=B3)*(Tbl案件[是否破獲]="是")*(Tbl案件[歸屬年度]=(YEAR(今日)-1911))),20)-14),"")</f>
        <v/>
      </c>
    </row>
    <row r="38" ht="30" customHeight="1">
      <c r="A38" s="141">
        <f>IFERROR(IF(AGGREGATE(15,6,ROW(Tbl案件[編號])/((Tbl案件[承辦人]=B3)*(Tbl案件[是否破獲]="是")*(Tbl案件[歸屬年度]=(YEAR(今日)-1911))),21)&gt;0,21,""),"")</f>
        <v/>
      </c>
      <c r="B38" s="16">
        <f>IFERROR(INDEX(Tbl案件[案類],AGGREGATE(15,6,ROW(Tbl案件[編號])/((Tbl案件[承辦人]=B3)*(Tbl案件[是否破獲]="是")*(Tbl案件[歸屬年度]=(YEAR(今日)-1911))),21)-14),"")</f>
        <v/>
      </c>
      <c r="C38" s="126">
        <f>IFERROR(INDEX(Tbl案件[發生時間],AGGREGATE(15,6,ROW(Tbl案件[編號])/((Tbl案件[承辦人]=B3)*(Tbl案件[是否破獲]="是")*(Tbl案件[歸屬年度]=(YEAR(今日)-1911))),21)-14),"")</f>
        <v/>
      </c>
      <c r="D38" s="16">
        <f>IFERROR(INDEX(Tbl案件[發生地點],AGGREGATE(15,6,ROW(Tbl案件[編號])/((Tbl案件[承辦人]=B3)*(Tbl案件[是否破獲]="是")*(Tbl案件[歸屬年度]=(YEAR(今日)-1911))),21)-14),"")</f>
        <v/>
      </c>
      <c r="E38" s="126">
        <f>IFERROR(INDEX(Tbl案件[破獲時間],AGGREGATE(15,6,ROW(Tbl案件[編號])/((Tbl案件[承辦人]=B3)*(Tbl案件[是否破獲]="是")*(Tbl案件[歸屬年度]=(YEAR(今日)-1911))),21)-14),"")</f>
        <v/>
      </c>
      <c r="F38" s="15">
        <f>IFERROR(INDEX(Tbl案件[案件狀況],AGGREGATE(15,6,ROW(Tbl案件[編號])/((Tbl案件[承辦人]=B3)*(Tbl案件[是否破獲]="是")*(Tbl案件[歸屬年度]=(YEAR(今日)-1911))),21)-14),"")</f>
        <v/>
      </c>
      <c r="G38" s="141">
        <f>IFERROR(INDEX(Tbl案件[涉案金額],AGGREGATE(15,6,ROW(Tbl案件[編號])/((Tbl案件[承辦人]=B3)*(Tbl案件[是否破獲]="是")*(Tbl案件[歸屬年度]=(YEAR(今日)-1911))),21)-14),"")</f>
        <v/>
      </c>
      <c r="H38" s="16">
        <f>IFERROR(INDEX(Tbl案件[備註],AGGREGATE(15,6,ROW(Tbl案件[編號])/((Tbl案件[承辦人]=B3)*(Tbl案件[是否破獲]="是")*(Tbl案件[歸屬年度]=(YEAR(今日)-1911))),21)-14),"")</f>
        <v/>
      </c>
    </row>
    <row r="39" ht="30" customHeight="1">
      <c r="A39" s="141">
        <f>IFERROR(IF(AGGREGATE(15,6,ROW(Tbl案件[編號])/((Tbl案件[承辦人]=B3)*(Tbl案件[是否破獲]="是")*(Tbl案件[歸屬年度]=(YEAR(今日)-1911))),22)&gt;0,22,""),"")</f>
        <v/>
      </c>
      <c r="B39" s="16">
        <f>IFERROR(INDEX(Tbl案件[案類],AGGREGATE(15,6,ROW(Tbl案件[編號])/((Tbl案件[承辦人]=B3)*(Tbl案件[是否破獲]="是")*(Tbl案件[歸屬年度]=(YEAR(今日)-1911))),22)-14),"")</f>
        <v/>
      </c>
      <c r="C39" s="126">
        <f>IFERROR(INDEX(Tbl案件[發生時間],AGGREGATE(15,6,ROW(Tbl案件[編號])/((Tbl案件[承辦人]=B3)*(Tbl案件[是否破獲]="是")*(Tbl案件[歸屬年度]=(YEAR(今日)-1911))),22)-14),"")</f>
        <v/>
      </c>
      <c r="D39" s="16">
        <f>IFERROR(INDEX(Tbl案件[發生地點],AGGREGATE(15,6,ROW(Tbl案件[編號])/((Tbl案件[承辦人]=B3)*(Tbl案件[是否破獲]="是")*(Tbl案件[歸屬年度]=(YEAR(今日)-1911))),22)-14),"")</f>
        <v/>
      </c>
      <c r="E39" s="126">
        <f>IFERROR(INDEX(Tbl案件[破獲時間],AGGREGATE(15,6,ROW(Tbl案件[編號])/((Tbl案件[承辦人]=B3)*(Tbl案件[是否破獲]="是")*(Tbl案件[歸屬年度]=(YEAR(今日)-1911))),22)-14),"")</f>
        <v/>
      </c>
      <c r="F39" s="15">
        <f>IFERROR(INDEX(Tbl案件[案件狀況],AGGREGATE(15,6,ROW(Tbl案件[編號])/((Tbl案件[承辦人]=B3)*(Tbl案件[是否破獲]="是")*(Tbl案件[歸屬年度]=(YEAR(今日)-1911))),22)-14),"")</f>
        <v/>
      </c>
      <c r="G39" s="141">
        <f>IFERROR(INDEX(Tbl案件[涉案金額],AGGREGATE(15,6,ROW(Tbl案件[編號])/((Tbl案件[承辦人]=B3)*(Tbl案件[是否破獲]="是")*(Tbl案件[歸屬年度]=(YEAR(今日)-1911))),22)-14),"")</f>
        <v/>
      </c>
      <c r="H39" s="16">
        <f>IFERROR(INDEX(Tbl案件[備註],AGGREGATE(15,6,ROW(Tbl案件[編號])/((Tbl案件[承辦人]=B3)*(Tbl案件[是否破獲]="是")*(Tbl案件[歸屬年度]=(YEAR(今日)-1911))),22)-14),"")</f>
        <v/>
      </c>
    </row>
    <row r="40" ht="30" customHeight="1">
      <c r="A40" s="141">
        <f>IFERROR(IF(AGGREGATE(15,6,ROW(Tbl案件[編號])/((Tbl案件[承辦人]=B3)*(Tbl案件[是否破獲]="是")*(Tbl案件[歸屬年度]=(YEAR(今日)-1911))),23)&gt;0,23,""),"")</f>
        <v/>
      </c>
      <c r="B40" s="16">
        <f>IFERROR(INDEX(Tbl案件[案類],AGGREGATE(15,6,ROW(Tbl案件[編號])/((Tbl案件[承辦人]=B3)*(Tbl案件[是否破獲]="是")*(Tbl案件[歸屬年度]=(YEAR(今日)-1911))),23)-14),"")</f>
        <v/>
      </c>
      <c r="C40" s="126">
        <f>IFERROR(INDEX(Tbl案件[發生時間],AGGREGATE(15,6,ROW(Tbl案件[編號])/((Tbl案件[承辦人]=B3)*(Tbl案件[是否破獲]="是")*(Tbl案件[歸屬年度]=(YEAR(今日)-1911))),23)-14),"")</f>
        <v/>
      </c>
      <c r="D40" s="16">
        <f>IFERROR(INDEX(Tbl案件[發生地點],AGGREGATE(15,6,ROW(Tbl案件[編號])/((Tbl案件[承辦人]=B3)*(Tbl案件[是否破獲]="是")*(Tbl案件[歸屬年度]=(YEAR(今日)-1911))),23)-14),"")</f>
        <v/>
      </c>
      <c r="E40" s="126">
        <f>IFERROR(INDEX(Tbl案件[破獲時間],AGGREGATE(15,6,ROW(Tbl案件[編號])/((Tbl案件[承辦人]=B3)*(Tbl案件[是否破獲]="是")*(Tbl案件[歸屬年度]=(YEAR(今日)-1911))),23)-14),"")</f>
        <v/>
      </c>
      <c r="F40" s="15">
        <f>IFERROR(INDEX(Tbl案件[案件狀況],AGGREGATE(15,6,ROW(Tbl案件[編號])/((Tbl案件[承辦人]=B3)*(Tbl案件[是否破獲]="是")*(Tbl案件[歸屬年度]=(YEAR(今日)-1911))),23)-14),"")</f>
        <v/>
      </c>
      <c r="G40" s="141">
        <f>IFERROR(INDEX(Tbl案件[涉案金額],AGGREGATE(15,6,ROW(Tbl案件[編號])/((Tbl案件[承辦人]=B3)*(Tbl案件[是否破獲]="是")*(Tbl案件[歸屬年度]=(YEAR(今日)-1911))),23)-14),"")</f>
        <v/>
      </c>
      <c r="H40" s="16">
        <f>IFERROR(INDEX(Tbl案件[備註],AGGREGATE(15,6,ROW(Tbl案件[編號])/((Tbl案件[承辦人]=B3)*(Tbl案件[是否破獲]="是")*(Tbl案件[歸屬年度]=(YEAR(今日)-1911))),23)-14),"")</f>
        <v/>
      </c>
    </row>
    <row r="41" ht="30" customHeight="1">
      <c r="A41" s="141">
        <f>IFERROR(IF(AGGREGATE(15,6,ROW(Tbl案件[編號])/((Tbl案件[承辦人]=B3)*(Tbl案件[是否破獲]="是")*(Tbl案件[歸屬年度]=(YEAR(今日)-1911))),24)&gt;0,24,""),"")</f>
        <v/>
      </c>
      <c r="B41" s="16">
        <f>IFERROR(INDEX(Tbl案件[案類],AGGREGATE(15,6,ROW(Tbl案件[編號])/((Tbl案件[承辦人]=B3)*(Tbl案件[是否破獲]="是")*(Tbl案件[歸屬年度]=(YEAR(今日)-1911))),24)-14),"")</f>
        <v/>
      </c>
      <c r="C41" s="126">
        <f>IFERROR(INDEX(Tbl案件[發生時間],AGGREGATE(15,6,ROW(Tbl案件[編號])/((Tbl案件[承辦人]=B3)*(Tbl案件[是否破獲]="是")*(Tbl案件[歸屬年度]=(YEAR(今日)-1911))),24)-14),"")</f>
        <v/>
      </c>
      <c r="D41" s="16">
        <f>IFERROR(INDEX(Tbl案件[發生地點],AGGREGATE(15,6,ROW(Tbl案件[編號])/((Tbl案件[承辦人]=B3)*(Tbl案件[是否破獲]="是")*(Tbl案件[歸屬年度]=(YEAR(今日)-1911))),24)-14),"")</f>
        <v/>
      </c>
      <c r="E41" s="126">
        <f>IFERROR(INDEX(Tbl案件[破獲時間],AGGREGATE(15,6,ROW(Tbl案件[編號])/((Tbl案件[承辦人]=B3)*(Tbl案件[是否破獲]="是")*(Tbl案件[歸屬年度]=(YEAR(今日)-1911))),24)-14),"")</f>
        <v/>
      </c>
      <c r="F41" s="15">
        <f>IFERROR(INDEX(Tbl案件[案件狀況],AGGREGATE(15,6,ROW(Tbl案件[編號])/((Tbl案件[承辦人]=B3)*(Tbl案件[是否破獲]="是")*(Tbl案件[歸屬年度]=(YEAR(今日)-1911))),24)-14),"")</f>
        <v/>
      </c>
      <c r="G41" s="141">
        <f>IFERROR(INDEX(Tbl案件[涉案金額],AGGREGATE(15,6,ROW(Tbl案件[編號])/((Tbl案件[承辦人]=B3)*(Tbl案件[是否破獲]="是")*(Tbl案件[歸屬年度]=(YEAR(今日)-1911))),24)-14),"")</f>
        <v/>
      </c>
      <c r="H41" s="16">
        <f>IFERROR(INDEX(Tbl案件[備註],AGGREGATE(15,6,ROW(Tbl案件[編號])/((Tbl案件[承辦人]=B3)*(Tbl案件[是否破獲]="是")*(Tbl案件[歸屬年度]=(YEAR(今日)-1911))),24)-14),"")</f>
        <v/>
      </c>
    </row>
    <row r="42" ht="30" customHeight="1">
      <c r="A42" s="141">
        <f>IFERROR(IF(AGGREGATE(15,6,ROW(Tbl案件[編號])/((Tbl案件[承辦人]=B3)*(Tbl案件[是否破獲]="是")*(Tbl案件[歸屬年度]=(YEAR(今日)-1911))),25)&gt;0,25,""),"")</f>
        <v/>
      </c>
      <c r="B42" s="16">
        <f>IFERROR(INDEX(Tbl案件[案類],AGGREGATE(15,6,ROW(Tbl案件[編號])/((Tbl案件[承辦人]=B3)*(Tbl案件[是否破獲]="是")*(Tbl案件[歸屬年度]=(YEAR(今日)-1911))),25)-14),"")</f>
        <v/>
      </c>
      <c r="C42" s="126">
        <f>IFERROR(INDEX(Tbl案件[發生時間],AGGREGATE(15,6,ROW(Tbl案件[編號])/((Tbl案件[承辦人]=B3)*(Tbl案件[是否破獲]="是")*(Tbl案件[歸屬年度]=(YEAR(今日)-1911))),25)-14),"")</f>
        <v/>
      </c>
      <c r="D42" s="16">
        <f>IFERROR(INDEX(Tbl案件[發生地點],AGGREGATE(15,6,ROW(Tbl案件[編號])/((Tbl案件[承辦人]=B3)*(Tbl案件[是否破獲]="是")*(Tbl案件[歸屬年度]=(YEAR(今日)-1911))),25)-14),"")</f>
        <v/>
      </c>
      <c r="E42" s="126">
        <f>IFERROR(INDEX(Tbl案件[破獲時間],AGGREGATE(15,6,ROW(Tbl案件[編號])/((Tbl案件[承辦人]=B3)*(Tbl案件[是否破獲]="是")*(Tbl案件[歸屬年度]=(YEAR(今日)-1911))),25)-14),"")</f>
        <v/>
      </c>
      <c r="F42" s="15">
        <f>IFERROR(INDEX(Tbl案件[案件狀況],AGGREGATE(15,6,ROW(Tbl案件[編號])/((Tbl案件[承辦人]=B3)*(Tbl案件[是否破獲]="是")*(Tbl案件[歸屬年度]=(YEAR(今日)-1911))),25)-14),"")</f>
        <v/>
      </c>
      <c r="G42" s="141">
        <f>IFERROR(INDEX(Tbl案件[涉案金額],AGGREGATE(15,6,ROW(Tbl案件[編號])/((Tbl案件[承辦人]=B3)*(Tbl案件[是否破獲]="是")*(Tbl案件[歸屬年度]=(YEAR(今日)-1911))),25)-14),"")</f>
        <v/>
      </c>
      <c r="H42" s="16">
        <f>IFERROR(INDEX(Tbl案件[備註],AGGREGATE(15,6,ROW(Tbl案件[編號])/((Tbl案件[承辦人]=B3)*(Tbl案件[是否破獲]="是")*(Tbl案件[歸屬年度]=(YEAR(今日)-1911))),25)-14),"")</f>
        <v/>
      </c>
    </row>
    <row r="43" ht="30" customHeight="1">
      <c r="A43" s="141">
        <f>IFERROR(IF(AGGREGATE(15,6,ROW(Tbl案件[編號])/((Tbl案件[承辦人]=B3)*(Tbl案件[是否破獲]="是")*(Tbl案件[歸屬年度]=(YEAR(今日)-1911))),26)&gt;0,26,""),"")</f>
        <v/>
      </c>
      <c r="B43" s="16">
        <f>IFERROR(INDEX(Tbl案件[案類],AGGREGATE(15,6,ROW(Tbl案件[編號])/((Tbl案件[承辦人]=B3)*(Tbl案件[是否破獲]="是")*(Tbl案件[歸屬年度]=(YEAR(今日)-1911))),26)-14),"")</f>
        <v/>
      </c>
      <c r="C43" s="126">
        <f>IFERROR(INDEX(Tbl案件[發生時間],AGGREGATE(15,6,ROW(Tbl案件[編號])/((Tbl案件[承辦人]=B3)*(Tbl案件[是否破獲]="是")*(Tbl案件[歸屬年度]=(YEAR(今日)-1911))),26)-14),"")</f>
        <v/>
      </c>
      <c r="D43" s="16">
        <f>IFERROR(INDEX(Tbl案件[發生地點],AGGREGATE(15,6,ROW(Tbl案件[編號])/((Tbl案件[承辦人]=B3)*(Tbl案件[是否破獲]="是")*(Tbl案件[歸屬年度]=(YEAR(今日)-1911))),26)-14),"")</f>
        <v/>
      </c>
      <c r="E43" s="126">
        <f>IFERROR(INDEX(Tbl案件[破獲時間],AGGREGATE(15,6,ROW(Tbl案件[編號])/((Tbl案件[承辦人]=B3)*(Tbl案件[是否破獲]="是")*(Tbl案件[歸屬年度]=(YEAR(今日)-1911))),26)-14),"")</f>
        <v/>
      </c>
      <c r="F43" s="15">
        <f>IFERROR(INDEX(Tbl案件[案件狀況],AGGREGATE(15,6,ROW(Tbl案件[編號])/((Tbl案件[承辦人]=B3)*(Tbl案件[是否破獲]="是")*(Tbl案件[歸屬年度]=(YEAR(今日)-1911))),26)-14),"")</f>
        <v/>
      </c>
      <c r="G43" s="141">
        <f>IFERROR(INDEX(Tbl案件[涉案金額],AGGREGATE(15,6,ROW(Tbl案件[編號])/((Tbl案件[承辦人]=B3)*(Tbl案件[是否破獲]="是")*(Tbl案件[歸屬年度]=(YEAR(今日)-1911))),26)-14),"")</f>
        <v/>
      </c>
      <c r="H43" s="16">
        <f>IFERROR(INDEX(Tbl案件[備註],AGGREGATE(15,6,ROW(Tbl案件[編號])/((Tbl案件[承辦人]=B3)*(Tbl案件[是否破獲]="是")*(Tbl案件[歸屬年度]=(YEAR(今日)-1911))),26)-14),"")</f>
        <v/>
      </c>
    </row>
    <row r="44" ht="30" customHeight="1">
      <c r="A44" s="141">
        <f>IFERROR(IF(AGGREGATE(15,6,ROW(Tbl案件[編號])/((Tbl案件[承辦人]=B3)*(Tbl案件[是否破獲]="是")*(Tbl案件[歸屬年度]=(YEAR(今日)-1911))),27)&gt;0,27,""),"")</f>
        <v/>
      </c>
      <c r="B44" s="16">
        <f>IFERROR(INDEX(Tbl案件[案類],AGGREGATE(15,6,ROW(Tbl案件[編號])/((Tbl案件[承辦人]=B3)*(Tbl案件[是否破獲]="是")*(Tbl案件[歸屬年度]=(YEAR(今日)-1911))),27)-14),"")</f>
        <v/>
      </c>
      <c r="C44" s="126">
        <f>IFERROR(INDEX(Tbl案件[發生時間],AGGREGATE(15,6,ROW(Tbl案件[編號])/((Tbl案件[承辦人]=B3)*(Tbl案件[是否破獲]="是")*(Tbl案件[歸屬年度]=(YEAR(今日)-1911))),27)-14),"")</f>
        <v/>
      </c>
      <c r="D44" s="16">
        <f>IFERROR(INDEX(Tbl案件[發生地點],AGGREGATE(15,6,ROW(Tbl案件[編號])/((Tbl案件[承辦人]=B3)*(Tbl案件[是否破獲]="是")*(Tbl案件[歸屬年度]=(YEAR(今日)-1911))),27)-14),"")</f>
        <v/>
      </c>
      <c r="E44" s="126">
        <f>IFERROR(INDEX(Tbl案件[破獲時間],AGGREGATE(15,6,ROW(Tbl案件[編號])/((Tbl案件[承辦人]=B3)*(Tbl案件[是否破獲]="是")*(Tbl案件[歸屬年度]=(YEAR(今日)-1911))),27)-14),"")</f>
        <v/>
      </c>
      <c r="F44" s="15">
        <f>IFERROR(INDEX(Tbl案件[案件狀況],AGGREGATE(15,6,ROW(Tbl案件[編號])/((Tbl案件[承辦人]=B3)*(Tbl案件[是否破獲]="是")*(Tbl案件[歸屬年度]=(YEAR(今日)-1911))),27)-14),"")</f>
        <v/>
      </c>
      <c r="G44" s="141">
        <f>IFERROR(INDEX(Tbl案件[涉案金額],AGGREGATE(15,6,ROW(Tbl案件[編號])/((Tbl案件[承辦人]=B3)*(Tbl案件[是否破獲]="是")*(Tbl案件[歸屬年度]=(YEAR(今日)-1911))),27)-14),"")</f>
        <v/>
      </c>
      <c r="H44" s="16">
        <f>IFERROR(INDEX(Tbl案件[備註],AGGREGATE(15,6,ROW(Tbl案件[編號])/((Tbl案件[承辦人]=B3)*(Tbl案件[是否破獲]="是")*(Tbl案件[歸屬年度]=(YEAR(今日)-1911))),27)-14),"")</f>
        <v/>
      </c>
    </row>
    <row r="45" ht="30" customHeight="1">
      <c r="A45" s="141">
        <f>IFERROR(IF(AGGREGATE(15,6,ROW(Tbl案件[編號])/((Tbl案件[承辦人]=B3)*(Tbl案件[是否破獲]="是")*(Tbl案件[歸屬年度]=(YEAR(今日)-1911))),28)&gt;0,28,""),"")</f>
        <v/>
      </c>
      <c r="B45" s="16">
        <f>IFERROR(INDEX(Tbl案件[案類],AGGREGATE(15,6,ROW(Tbl案件[編號])/((Tbl案件[承辦人]=B3)*(Tbl案件[是否破獲]="是")*(Tbl案件[歸屬年度]=(YEAR(今日)-1911))),28)-14),"")</f>
        <v/>
      </c>
      <c r="C45" s="126">
        <f>IFERROR(INDEX(Tbl案件[發生時間],AGGREGATE(15,6,ROW(Tbl案件[編號])/((Tbl案件[承辦人]=B3)*(Tbl案件[是否破獲]="是")*(Tbl案件[歸屬年度]=(YEAR(今日)-1911))),28)-14),"")</f>
        <v/>
      </c>
      <c r="D45" s="16">
        <f>IFERROR(INDEX(Tbl案件[發生地點],AGGREGATE(15,6,ROW(Tbl案件[編號])/((Tbl案件[承辦人]=B3)*(Tbl案件[是否破獲]="是")*(Tbl案件[歸屬年度]=(YEAR(今日)-1911))),28)-14),"")</f>
        <v/>
      </c>
      <c r="E45" s="126">
        <f>IFERROR(INDEX(Tbl案件[破獲時間],AGGREGATE(15,6,ROW(Tbl案件[編號])/((Tbl案件[承辦人]=B3)*(Tbl案件[是否破獲]="是")*(Tbl案件[歸屬年度]=(YEAR(今日)-1911))),28)-14),"")</f>
        <v/>
      </c>
      <c r="F45" s="15">
        <f>IFERROR(INDEX(Tbl案件[案件狀況],AGGREGATE(15,6,ROW(Tbl案件[編號])/((Tbl案件[承辦人]=B3)*(Tbl案件[是否破獲]="是")*(Tbl案件[歸屬年度]=(YEAR(今日)-1911))),28)-14),"")</f>
        <v/>
      </c>
      <c r="G45" s="141">
        <f>IFERROR(INDEX(Tbl案件[涉案金額],AGGREGATE(15,6,ROW(Tbl案件[編號])/((Tbl案件[承辦人]=B3)*(Tbl案件[是否破獲]="是")*(Tbl案件[歸屬年度]=(YEAR(今日)-1911))),28)-14),"")</f>
        <v/>
      </c>
      <c r="H45" s="16">
        <f>IFERROR(INDEX(Tbl案件[備註],AGGREGATE(15,6,ROW(Tbl案件[編號])/((Tbl案件[承辦人]=B3)*(Tbl案件[是否破獲]="是")*(Tbl案件[歸屬年度]=(YEAR(今日)-1911))),28)-14),"")</f>
        <v/>
      </c>
    </row>
    <row r="46" ht="30" customHeight="1">
      <c r="A46" s="141">
        <f>IFERROR(IF(AGGREGATE(15,6,ROW(Tbl案件[編號])/((Tbl案件[承辦人]=B3)*(Tbl案件[是否破獲]="是")*(Tbl案件[歸屬年度]=(YEAR(今日)-1911))),29)&gt;0,29,""),"")</f>
        <v/>
      </c>
      <c r="B46" s="16">
        <f>IFERROR(INDEX(Tbl案件[案類],AGGREGATE(15,6,ROW(Tbl案件[編號])/((Tbl案件[承辦人]=B3)*(Tbl案件[是否破獲]="是")*(Tbl案件[歸屬年度]=(YEAR(今日)-1911))),29)-14),"")</f>
        <v/>
      </c>
      <c r="C46" s="126">
        <f>IFERROR(INDEX(Tbl案件[發生時間],AGGREGATE(15,6,ROW(Tbl案件[編號])/((Tbl案件[承辦人]=B3)*(Tbl案件[是否破獲]="是")*(Tbl案件[歸屬年度]=(YEAR(今日)-1911))),29)-14),"")</f>
        <v/>
      </c>
      <c r="D46" s="16">
        <f>IFERROR(INDEX(Tbl案件[發生地點],AGGREGATE(15,6,ROW(Tbl案件[編號])/((Tbl案件[承辦人]=B3)*(Tbl案件[是否破獲]="是")*(Tbl案件[歸屬年度]=(YEAR(今日)-1911))),29)-14),"")</f>
        <v/>
      </c>
      <c r="E46" s="126">
        <f>IFERROR(INDEX(Tbl案件[破獲時間],AGGREGATE(15,6,ROW(Tbl案件[編號])/((Tbl案件[承辦人]=B3)*(Tbl案件[是否破獲]="是")*(Tbl案件[歸屬年度]=(YEAR(今日)-1911))),29)-14),"")</f>
        <v/>
      </c>
      <c r="F46" s="15">
        <f>IFERROR(INDEX(Tbl案件[案件狀況],AGGREGATE(15,6,ROW(Tbl案件[編號])/((Tbl案件[承辦人]=B3)*(Tbl案件[是否破獲]="是")*(Tbl案件[歸屬年度]=(YEAR(今日)-1911))),29)-14),"")</f>
        <v/>
      </c>
      <c r="G46" s="141">
        <f>IFERROR(INDEX(Tbl案件[涉案金額],AGGREGATE(15,6,ROW(Tbl案件[編號])/((Tbl案件[承辦人]=B3)*(Tbl案件[是否破獲]="是")*(Tbl案件[歸屬年度]=(YEAR(今日)-1911))),29)-14),"")</f>
        <v/>
      </c>
      <c r="H46" s="16">
        <f>IFERROR(INDEX(Tbl案件[備註],AGGREGATE(15,6,ROW(Tbl案件[編號])/((Tbl案件[承辦人]=B3)*(Tbl案件[是否破獲]="是")*(Tbl案件[歸屬年度]=(YEAR(今日)-1911))),29)-14),"")</f>
        <v/>
      </c>
    </row>
    <row r="47" ht="30" customHeight="1">
      <c r="A47" s="141">
        <f>IFERROR(IF(AGGREGATE(15,6,ROW(Tbl案件[編號])/((Tbl案件[承辦人]=B3)*(Tbl案件[是否破獲]="是")*(Tbl案件[歸屬年度]=(YEAR(今日)-1911))),30)&gt;0,30,""),"")</f>
        <v/>
      </c>
      <c r="B47" s="16">
        <f>IFERROR(INDEX(Tbl案件[案類],AGGREGATE(15,6,ROW(Tbl案件[編號])/((Tbl案件[承辦人]=B3)*(Tbl案件[是否破獲]="是")*(Tbl案件[歸屬年度]=(YEAR(今日)-1911))),30)-14),"")</f>
        <v/>
      </c>
      <c r="C47" s="126">
        <f>IFERROR(INDEX(Tbl案件[發生時間],AGGREGATE(15,6,ROW(Tbl案件[編號])/((Tbl案件[承辦人]=B3)*(Tbl案件[是否破獲]="是")*(Tbl案件[歸屬年度]=(YEAR(今日)-1911))),30)-14),"")</f>
        <v/>
      </c>
      <c r="D47" s="16">
        <f>IFERROR(INDEX(Tbl案件[發生地點],AGGREGATE(15,6,ROW(Tbl案件[編號])/((Tbl案件[承辦人]=B3)*(Tbl案件[是否破獲]="是")*(Tbl案件[歸屬年度]=(YEAR(今日)-1911))),30)-14),"")</f>
        <v/>
      </c>
      <c r="E47" s="126">
        <f>IFERROR(INDEX(Tbl案件[破獲時間],AGGREGATE(15,6,ROW(Tbl案件[編號])/((Tbl案件[承辦人]=B3)*(Tbl案件[是否破獲]="是")*(Tbl案件[歸屬年度]=(YEAR(今日)-1911))),30)-14),"")</f>
        <v/>
      </c>
      <c r="F47" s="15">
        <f>IFERROR(INDEX(Tbl案件[案件狀況],AGGREGATE(15,6,ROW(Tbl案件[編號])/((Tbl案件[承辦人]=B3)*(Tbl案件[是否破獲]="是")*(Tbl案件[歸屬年度]=(YEAR(今日)-1911))),30)-14),"")</f>
        <v/>
      </c>
      <c r="G47" s="141">
        <f>IFERROR(INDEX(Tbl案件[涉案金額],AGGREGATE(15,6,ROW(Tbl案件[編號])/((Tbl案件[承辦人]=B3)*(Tbl案件[是否破獲]="是")*(Tbl案件[歸屬年度]=(YEAR(今日)-1911))),30)-14),"")</f>
        <v/>
      </c>
      <c r="H47" s="16">
        <f>IFERROR(INDEX(Tbl案件[備註],AGGREGATE(15,6,ROW(Tbl案件[編號])/((Tbl案件[承辦人]=B3)*(Tbl案件[是否破獲]="是")*(Tbl案件[歸屬年度]=(YEAR(今日)-1911))),30)-14),"")</f>
        <v/>
      </c>
    </row>
    <row r="48" ht="12" customHeight="1"/>
    <row r="49" ht="32" customHeight="1">
      <c r="A49" s="193" t="inlineStr">
        <is>
          <t xml:space="preserve">  所長：__________________  簽章</t>
        </is>
      </c>
      <c r="B49" s="34" t="n"/>
      <c r="C49" s="34" t="n"/>
      <c r="D49" s="34" t="n"/>
      <c r="E49" s="193" t="inlineStr">
        <is>
          <t xml:space="preserve">  督導官：__________________  簽章</t>
        </is>
      </c>
      <c r="F49" s="34" t="n"/>
      <c r="G49" s="34" t="n"/>
      <c r="H49" s="34" t="n"/>
    </row>
    <row r="50" ht="22" customHeight="1">
      <c r="A50" s="82">
        <f>"© KKEVIN-LIN-2026-V2.0  ｜  個人卡資料源：Tbl案件（SSOT）｜  製表："&amp;TEXT(今日,"e/mm/dd")&amp;"  ｜  A4 直式可獨立列印交付督導官"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22">
    <mergeCell ref="C6:D6"/>
    <mergeCell ref="C5:D5"/>
    <mergeCell ref="E5:F5"/>
    <mergeCell ref="A1:H1"/>
    <mergeCell ref="A6:B6"/>
    <mergeCell ref="A7:B7"/>
    <mergeCell ref="G7:H7"/>
    <mergeCell ref="A16:H16"/>
    <mergeCell ref="G6:H6"/>
    <mergeCell ref="A49:D49"/>
    <mergeCell ref="G3:H3"/>
    <mergeCell ref="A50:H50"/>
    <mergeCell ref="E6:F6"/>
    <mergeCell ref="A2:H2"/>
    <mergeCell ref="A5:B5"/>
    <mergeCell ref="G5:H5"/>
    <mergeCell ref="A8:H8"/>
    <mergeCell ref="C7:D7"/>
    <mergeCell ref="E7:F7"/>
    <mergeCell ref="E49:H49"/>
    <mergeCell ref="C3:D3"/>
    <mergeCell ref="E3:F3"/>
  </mergeCells>
  <dataValidations count="1">
    <dataValidation sqref="B3" showDropDown="0" showInputMessage="0" showErrorMessage="0" allowBlank="0" errorTitle="員警未在名冊" error="請選擇有效員警" promptTitle="員警下拉" prompt="請從下拉選擇員警（來源：設定表 B 區員警名冊）" type="list">
      <formula1>=員警姓名清單</formula1>
    </dataValidation>
  </dataValidations>
  <printOptions horizontalCentered="1"/>
  <pageMargins left="0.4" right="0.4" top="0.5" bottom="0.5" header="0.3" footer="0.3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104"/>
  <sheetViews>
    <sheetView tabSelected="0" topLeftCell="A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</cols>
  <sheetData>
    <row r="1" ht="52" customHeight="1">
      <c r="A1" s="27" t="inlineStr">
        <is>
          <t xml:space="preserve">   📈  跨期間趨勢分析（v2 唯一 Sparkline 主軸頁）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   "&amp;警察局名稱&amp;" · "&amp;分局名稱&amp;" · "&amp;派出所名稱&amp;" ｜ 中華民國 "&amp;(YEAR(今日)-1911)&amp;" 年 ｜ 資料源：Tbl歷史（"&amp;IFERROR(COUNTA(Tbl歷史[統計年月]),0)&amp;" 個月份快照）"</f>
        <v/>
      </c>
    </row>
    <row r="3" ht="32" customHeight="1">
      <c r="A3" s="3" t="inlineStr">
        <is>
          <t xml:space="preserve">  期間：</t>
        </is>
      </c>
      <c r="B3" s="10" t="inlineStr">
        <is>
          <t>12 月</t>
        </is>
      </c>
      <c r="C3" s="165">
        <f>"📊 近 "&amp;B3&amp;" 走勢摘要："&amp;IF(IFERROR(COUNTA(Tbl歷史[統計年月]),0)&lt;3,"歷史資料不足 3 個月，需累積快照","見下方主表，Top 3 變化見底部")</f>
        <v/>
      </c>
      <c r="D3" s="7" t="n"/>
      <c r="E3" s="7" t="n"/>
      <c r="F3" s="7" t="n"/>
      <c r="G3" s="8" t="n"/>
    </row>
    <row r="4" ht="8" customHeight="1"/>
    <row r="5" ht="34" customHeight="1">
      <c r="A5" s="39">
        <f>"   📈  5 KPI × "&amp;B3&amp;" 走勢矩陣（純文字 sparkline，跨平台一致）"</f>
        <v/>
      </c>
    </row>
    <row r="6" ht="4" customHeight="1"/>
    <row r="7" ht="34" customHeight="1">
      <c r="A7" s="10" t="inlineStr">
        <is>
          <t>KPI</t>
        </is>
      </c>
      <c r="B7" s="10" t="inlineStr">
        <is>
          <t>近 N 月走勢</t>
        </is>
      </c>
      <c r="C7" s="10" t="inlineStr">
        <is>
          <t>當月</t>
        </is>
      </c>
      <c r="D7" s="10" t="inlineStr">
        <is>
          <t>3 月前</t>
        </is>
      </c>
      <c r="E7" s="10" t="inlineStr">
        <is>
          <t>6 月前</t>
        </is>
      </c>
      <c r="F7" s="10" t="inlineStr">
        <is>
          <t>vs 去年同期</t>
        </is>
      </c>
      <c r="G7" s="10" t="inlineStr">
        <is>
          <t>趨勢</t>
        </is>
      </c>
    </row>
    <row r="8" ht="30" customHeight="1">
      <c r="A8" s="13" t="inlineStr">
        <is>
          <t xml:space="preserve">  01  全般破獲率</t>
        </is>
      </c>
      <c r="B8" s="176">
        <f>AR100</f>
        <v/>
      </c>
      <c r="C8" s="177">
        <f>IFERROR(INDEX(Tbl歷史,MAX(1,COUNTA(Tbl歷史[統計年月])),5),"—")</f>
        <v/>
      </c>
      <c r="D8" s="178">
        <f>IFERROR(INDEX(Tbl歷史,MAX(1,MAX(1,COUNTA(Tbl歷史[統計年月]))-3),5),"—")</f>
        <v/>
      </c>
      <c r="E8" s="178">
        <f>IFERROR(INDEX(Tbl歷史,MAX(1,MAX(1,COUNTA(Tbl歷史[統計年月]))-6),5),"—")</f>
        <v/>
      </c>
      <c r="F8" s="178">
        <f>IFERROR(IF(MAX(1,COUNTA(Tbl歷史[統計年月]))&lt;=12,"資料不足",INDEX(Tbl歷史,MAX(1,COUNTA(Tbl歷史[統計年月]))-12,5)),"—")</f>
        <v/>
      </c>
      <c r="G8" s="152">
        <f>IFERROR(IF(C8&gt;D8,"↑ 上升",IF(C8&lt;D8,"↓ 下降","→ 持平")),"—")</f>
        <v/>
      </c>
    </row>
    <row r="9" ht="30" customHeight="1">
      <c r="A9" s="13" t="inlineStr">
        <is>
          <t xml:space="preserve">  02  毒調率</t>
        </is>
      </c>
      <c r="B9" s="176">
        <f>AR101</f>
        <v/>
      </c>
      <c r="C9" s="177">
        <f>IFERROR(INDEX(Tbl歷史,MAX(1,COUNTA(Tbl歷史[統計年月])),10),"—")</f>
        <v/>
      </c>
      <c r="D9" s="178">
        <f>IFERROR(INDEX(Tbl歷史,MAX(1,MAX(1,COUNTA(Tbl歷史[統計年月]))-3),10),"—")</f>
        <v/>
      </c>
      <c r="E9" s="178">
        <f>IFERROR(INDEX(Tbl歷史,MAX(1,MAX(1,COUNTA(Tbl歷史[統計年月]))-6),10),"—")</f>
        <v/>
      </c>
      <c r="F9" s="178">
        <f>IFERROR(IF(MAX(1,COUNTA(Tbl歷史[統計年月]))&lt;=12,"資料不足",INDEX(Tbl歷史,MAX(1,COUNTA(Tbl歷史[統計年月]))-12,10)),"—")</f>
        <v/>
      </c>
      <c r="G9" s="152">
        <f>IFERROR(IF(C9&gt;D9,"↑ 上升",IF(C9&lt;D9,"↓ 下降","→ 持平")),"—")</f>
        <v/>
      </c>
    </row>
    <row r="10" ht="30" customHeight="1">
      <c r="A10" s="13" t="inlineStr">
        <is>
          <t xml:space="preserve">  03  未到驗人口</t>
        </is>
      </c>
      <c r="B10" s="176">
        <f>AR102</f>
        <v/>
      </c>
      <c r="C10" s="179">
        <f>IFERROR(INDEX(Tbl歷史,MAX(1,COUNTA(Tbl歷史[統計年月])),11),"—")</f>
        <v/>
      </c>
      <c r="D10" s="141">
        <f>IFERROR(INDEX(Tbl歷史,MAX(1,MAX(1,COUNTA(Tbl歷史[統計年月]))-3),11),"—")</f>
        <v/>
      </c>
      <c r="E10" s="141">
        <f>IFERROR(INDEX(Tbl歷史,MAX(1,MAX(1,COUNTA(Tbl歷史[統計年月]))-6),11),"—")</f>
        <v/>
      </c>
      <c r="F10" s="141">
        <f>IFERROR(IF(MAX(1,COUNTA(Tbl歷史[統計年月]))&lt;=12,"資料不足",INDEX(Tbl歷史,MAX(1,COUNTA(Tbl歷史[統計年月]))-12,11)),"—")</f>
        <v/>
      </c>
      <c r="G10" s="152">
        <f>IFERROR(IF(C10&lt;D10,"↑ 改善",IF(C10&gt;D10,"↓ 惡化","→ 持平")),"—")</f>
        <v/>
      </c>
    </row>
    <row r="11" ht="30" customHeight="1">
      <c r="A11" s="13" t="inlineStr">
        <is>
          <t xml:space="preserve">  04  交通達標率</t>
        </is>
      </c>
      <c r="B11" s="176">
        <f>AR103</f>
        <v/>
      </c>
      <c r="C11" s="177">
        <f>IFERROR(INDEX(Tbl歷史,MAX(1,COUNTA(Tbl歷史[統計年月])),12),"—")</f>
        <v/>
      </c>
      <c r="D11" s="178">
        <f>IFERROR(INDEX(Tbl歷史,MAX(1,MAX(1,COUNTA(Tbl歷史[統計年月]))-3),12),"—")</f>
        <v/>
      </c>
      <c r="E11" s="178">
        <f>IFERROR(INDEX(Tbl歷史,MAX(1,MAX(1,COUNTA(Tbl歷史[統計年月]))-6),12),"—")</f>
        <v/>
      </c>
      <c r="F11" s="178">
        <f>IFERROR(IF(MAX(1,COUNTA(Tbl歷史[統計年月]))&lt;=12,"資料不足",INDEX(Tbl歷史,MAX(1,COUNTA(Tbl歷史[統計年月]))-12,12)),"—")</f>
        <v/>
      </c>
      <c r="G11" s="152">
        <f>IFERROR(IF(C11&gt;D11,"↑ 上升",IF(C11&lt;D11,"↓ 下降","→ 持平")),"—")</f>
        <v/>
      </c>
    </row>
    <row r="12" ht="30" customHeight="1">
      <c r="A12" s="13" t="inlineStr">
        <is>
          <t xml:space="preserve">  05  未破案件</t>
        </is>
      </c>
      <c r="B12" s="176">
        <f>AR104</f>
        <v/>
      </c>
      <c r="C12" s="179">
        <f>IFERROR(INDEX(Tbl歷史,MAX(1,COUNTA(Tbl歷史[統計年月])),3),"—")</f>
        <v/>
      </c>
      <c r="D12" s="141">
        <f>IFERROR(INDEX(Tbl歷史,MAX(1,MAX(1,COUNTA(Tbl歷史[統計年月]))-3),3),"—")</f>
        <v/>
      </c>
      <c r="E12" s="141">
        <f>IFERROR(INDEX(Tbl歷史,MAX(1,MAX(1,COUNTA(Tbl歷史[統計年月]))-6),3),"—")</f>
        <v/>
      </c>
      <c r="F12" s="141">
        <f>IFERROR(IF(MAX(1,COUNTA(Tbl歷史[統計年月]))&lt;=12,"資料不足",INDEX(Tbl歷史,MAX(1,COUNTA(Tbl歷史[統計年月]))-12,3)),"—")</f>
        <v/>
      </c>
      <c r="G12" s="152">
        <f>IFERROR(IF(C12&lt;D12,"↑ 改善",IF(C12&gt;D12,"↓ 惡化","→ 持平")),"—")</f>
        <v/>
      </c>
    </row>
    <row r="13" ht="10" customHeight="1"/>
    <row r="14" ht="34" customHeight="1">
      <c r="A14" s="39" t="inlineStr">
        <is>
          <t xml:space="preserve">   ★  Top 3 變化（依當月 vs 3 月前差距排序）</t>
        </is>
      </c>
    </row>
    <row r="15" ht="36" customHeight="1">
      <c r="A15" s="180" t="inlineStr">
        <is>
          <t xml:space="preserve">  🥇 最大改善</t>
        </is>
      </c>
      <c r="B15" s="8" t="n"/>
      <c r="C15" s="181">
        <f>IFERROR(IF(D8=0,"—",(C8-D8)/D8),0)</f>
        <v/>
      </c>
      <c r="D15" s="8" t="n"/>
      <c r="E15" s="182" t="inlineStr">
        <is>
          <t xml:space="preserve">  全般破獲率 vs 3 月前</t>
        </is>
      </c>
      <c r="F15" s="7" t="n"/>
      <c r="G15" s="8" t="n"/>
    </row>
    <row r="16" ht="36" customHeight="1">
      <c r="A16" s="183" t="inlineStr">
        <is>
          <t xml:space="preserve">  ⚠ 需關注</t>
        </is>
      </c>
      <c r="B16" s="8" t="n"/>
      <c r="C16" s="184">
        <f>IFERROR(IF(D11=0,"—",(C11-D11)/D11),0)</f>
        <v/>
      </c>
      <c r="D16" s="8" t="n"/>
      <c r="E16" s="185" t="inlineStr">
        <is>
          <t xml:space="preserve">  交通達標率 vs 3 月前</t>
        </is>
      </c>
      <c r="F16" s="7" t="n"/>
      <c r="G16" s="8" t="n"/>
    </row>
    <row r="17" ht="36" customHeight="1">
      <c r="A17" s="186" t="inlineStr">
        <is>
          <t xml:space="preserve">  🔍 持續觀察</t>
        </is>
      </c>
      <c r="B17" s="8" t="n"/>
      <c r="C17" s="187">
        <f>IFERROR(IF(D9=0,"—",(C9-D9)/D9),0)</f>
        <v/>
      </c>
      <c r="D17" s="8" t="n"/>
      <c r="E17" s="188" t="inlineStr">
        <is>
          <t xml:space="preserve">  毒調率 vs 3 月前</t>
        </is>
      </c>
      <c r="F17" s="7" t="n"/>
      <c r="G17" s="8" t="n"/>
    </row>
    <row r="18" ht="10" customHeight="1"/>
    <row r="19" ht="22" customHeight="1">
      <c r="A19" s="82">
        <f>"© KKEVIN-LIN-2026-V2.0  ｜  資料源：頁 14 Tbl歷史（月份快照）｜  Sparkline 採 Unicode 區塊字元（跨平台一致）｜  製表："&amp;TEXT(今日,"e/mm/dd")</f>
        <v/>
      </c>
    </row>
    <row r="99" hidden="1">
      <c r="A99" s="83" t="inlineStr">
        <is>
          <t>[helper] 趨勢矩陣</t>
        </is>
      </c>
      <c r="B99" s="83" t="inlineStr">
        <is>
          <t>KPI</t>
        </is>
      </c>
      <c r="T99" s="83" t="inlineStr">
        <is>
          <t>近 12 月資料 (T..AE)</t>
        </is>
      </c>
      <c r="AF99" s="83" t="inlineStr">
        <is>
          <t>block 字元 (AF..AQ)</t>
        </is>
      </c>
      <c r="AR99" s="83" t="inlineStr">
        <is>
          <t>sparkline 字串</t>
        </is>
      </c>
    </row>
    <row r="100" hidden="1">
      <c r="A100" s="83" t="inlineStr">
        <is>
          <t>01 全般破獲率</t>
        </is>
      </c>
      <c r="B100" s="83" t="n">
        <v>5</v>
      </c>
      <c r="T100" s="84">
        <f>IFERROR(INDEX(Tbl歷史,MAX(1,MAX(1,COUNTA(Tbl歷史[統計年月]))-11+0),5),"")</f>
        <v/>
      </c>
      <c r="U100" s="84">
        <f>IFERROR(INDEX(Tbl歷史,MAX(1,MAX(1,COUNTA(Tbl歷史[統計年月]))-11+1),5),"")</f>
        <v/>
      </c>
      <c r="V100" s="84">
        <f>IFERROR(INDEX(Tbl歷史,MAX(1,MAX(1,COUNTA(Tbl歷史[統計年月]))-11+2),5),"")</f>
        <v/>
      </c>
      <c r="W100" s="84">
        <f>IFERROR(INDEX(Tbl歷史,MAX(1,MAX(1,COUNTA(Tbl歷史[統計年月]))-11+3),5),"")</f>
        <v/>
      </c>
      <c r="X100" s="84">
        <f>IFERROR(INDEX(Tbl歷史,MAX(1,MAX(1,COUNTA(Tbl歷史[統計年月]))-11+4),5),"")</f>
        <v/>
      </c>
      <c r="Y100" s="84">
        <f>IFERROR(INDEX(Tbl歷史,MAX(1,MAX(1,COUNTA(Tbl歷史[統計年月]))-11+5),5),"")</f>
        <v/>
      </c>
      <c r="Z100" s="84">
        <f>IFERROR(INDEX(Tbl歷史,MAX(1,MAX(1,COUNTA(Tbl歷史[統計年月]))-11+6),5),"")</f>
        <v/>
      </c>
      <c r="AA100" s="84">
        <f>IFERROR(INDEX(Tbl歷史,MAX(1,MAX(1,COUNTA(Tbl歷史[統計年月]))-11+7),5),"")</f>
        <v/>
      </c>
      <c r="AB100" s="84">
        <f>IFERROR(INDEX(Tbl歷史,MAX(1,MAX(1,COUNTA(Tbl歷史[統計年月]))-11+8),5),"")</f>
        <v/>
      </c>
      <c r="AC100" s="84">
        <f>IFERROR(INDEX(Tbl歷史,MAX(1,MAX(1,COUNTA(Tbl歷史[統計年月]))-11+9),5),"")</f>
        <v/>
      </c>
      <c r="AD100" s="84">
        <f>IFERROR(INDEX(Tbl歷史,MAX(1,MAX(1,COUNTA(Tbl歷史[統計年月]))-11+10),5),"")</f>
        <v/>
      </c>
      <c r="AE100" s="84">
        <f>IFERROR(INDEX(Tbl歷史,MAX(1,MAX(1,COUNTA(Tbl歷史[統計年月]))-11+11),5),"")</f>
        <v/>
      </c>
      <c r="AF100" s="83">
        <f>IF(OR(NOT(ISNUMBER(T100)),MAX($T100:$AE100)=MIN($T100:$AE100)),IF(ISNUMBER(T100),"▄",""),CHOOSE(1+MIN(7,MAX(0,ROUND((T100-MIN($T100:$AE100))/(MAX($T100:$AE100)-MIN($T100:$AE100))*7,0))),"▁","▂","▃","▄","▅","▆","▇","█"))</f>
        <v/>
      </c>
      <c r="AG100" s="83">
        <f>IF(OR(NOT(ISNUMBER(U100)),MAX($T100:$AE100)=MIN($T100:$AE100)),IF(ISNUMBER(U100),"▄",""),CHOOSE(1+MIN(7,MAX(0,ROUND((U100-MIN($T100:$AE100))/(MAX($T100:$AE100)-MIN($T100:$AE100))*7,0))),"▁","▂","▃","▄","▅","▆","▇","█"))</f>
        <v/>
      </c>
      <c r="AH100" s="83">
        <f>IF(OR(NOT(ISNUMBER(V100)),MAX($T100:$AE100)=MIN($T100:$AE100)),IF(ISNUMBER(V100),"▄",""),CHOOSE(1+MIN(7,MAX(0,ROUND((V100-MIN($T100:$AE100))/(MAX($T100:$AE100)-MIN($T100:$AE100))*7,0))),"▁","▂","▃","▄","▅","▆","▇","█"))</f>
        <v/>
      </c>
      <c r="AI100" s="83">
        <f>IF(OR(NOT(ISNUMBER(W100)),MAX($T100:$AE100)=MIN($T100:$AE100)),IF(ISNUMBER(W100),"▄",""),CHOOSE(1+MIN(7,MAX(0,ROUND((W100-MIN($T100:$AE100))/(MAX($T100:$AE100)-MIN($T100:$AE100))*7,0))),"▁","▂","▃","▄","▅","▆","▇","█"))</f>
        <v/>
      </c>
      <c r="AJ100" s="83">
        <f>IF(OR(NOT(ISNUMBER(X100)),MAX($T100:$AE100)=MIN($T100:$AE100)),IF(ISNUMBER(X100),"▄",""),CHOOSE(1+MIN(7,MAX(0,ROUND((X100-MIN($T100:$AE100))/(MAX($T100:$AE100)-MIN($T100:$AE100))*7,0))),"▁","▂","▃","▄","▅","▆","▇","█"))</f>
        <v/>
      </c>
      <c r="AK100" s="83">
        <f>IF(OR(NOT(ISNUMBER(Y100)),MAX($T100:$AE100)=MIN($T100:$AE100)),IF(ISNUMBER(Y100),"▄",""),CHOOSE(1+MIN(7,MAX(0,ROUND((Y100-MIN($T100:$AE100))/(MAX($T100:$AE100)-MIN($T100:$AE100))*7,0))),"▁","▂","▃","▄","▅","▆","▇","█"))</f>
        <v/>
      </c>
      <c r="AL100" s="83">
        <f>IF(OR(NOT(ISNUMBER(Z100)),MAX($T100:$AE100)=MIN($T100:$AE100)),IF(ISNUMBER(Z100),"▄",""),CHOOSE(1+MIN(7,MAX(0,ROUND((Z100-MIN($T100:$AE100))/(MAX($T100:$AE100)-MIN($T100:$AE100))*7,0))),"▁","▂","▃","▄","▅","▆","▇","█"))</f>
        <v/>
      </c>
      <c r="AM100" s="83">
        <f>IF(OR(NOT(ISNUMBER(AA100)),MAX($T100:$AE100)=MIN($T100:$AE100)),IF(ISNUMBER(AA100),"▄",""),CHOOSE(1+MIN(7,MAX(0,ROUND((AA100-MIN($T100:$AE100))/(MAX($T100:$AE100)-MIN($T100:$AE100))*7,0))),"▁","▂","▃","▄","▅","▆","▇","█"))</f>
        <v/>
      </c>
      <c r="AN100" s="83">
        <f>IF(OR(NOT(ISNUMBER(AB100)),MAX($T100:$AE100)=MIN($T100:$AE100)),IF(ISNUMBER(AB100),"▄",""),CHOOSE(1+MIN(7,MAX(0,ROUND((AB100-MIN($T100:$AE100))/(MAX($T100:$AE100)-MIN($T100:$AE100))*7,0))),"▁","▂","▃","▄","▅","▆","▇","█"))</f>
        <v/>
      </c>
      <c r="AO100" s="83">
        <f>IF(OR(NOT(ISNUMBER(AC100)),MAX($T100:$AE100)=MIN($T100:$AE100)),IF(ISNUMBER(AC100),"▄",""),CHOOSE(1+MIN(7,MAX(0,ROUND((AC100-MIN($T100:$AE100))/(MAX($T100:$AE100)-MIN($T100:$AE100))*7,0))),"▁","▂","▃","▄","▅","▆","▇","█"))</f>
        <v/>
      </c>
      <c r="AP100" s="83">
        <f>IF(OR(NOT(ISNUMBER(AD100)),MAX($T100:$AE100)=MIN($T100:$AE100)),IF(ISNUMBER(AD100),"▄",""),CHOOSE(1+MIN(7,MAX(0,ROUND((AD100-MIN($T100:$AE100))/(MAX($T100:$AE100)-MIN($T100:$AE100))*7,0))),"▁","▂","▃","▄","▅","▆","▇","█"))</f>
        <v/>
      </c>
      <c r="AQ100" s="83">
        <f>IF(OR(NOT(ISNUMBER(AE100)),MAX($T100:$AE100)=MIN($T100:$AE100)),IF(ISNUMBER(AE100),"▄",""),CHOOSE(1+MIN(7,MAX(0,ROUND((AE100-MIN($T100:$AE100))/(MAX($T100:$AE100)-MIN($T100:$AE100))*7,0))),"▁","▂","▃","▄","▅","▆","▇","█"))</f>
        <v/>
      </c>
      <c r="AR100" s="85">
        <f>IFERROR(CONCAT($AF100:$AQ100),"")</f>
        <v/>
      </c>
    </row>
    <row r="101" hidden="1">
      <c r="A101" s="83" t="inlineStr">
        <is>
          <t>02 毒調率</t>
        </is>
      </c>
      <c r="B101" s="83" t="n">
        <v>10</v>
      </c>
      <c r="T101" s="84">
        <f>IFERROR(INDEX(Tbl歷史,MAX(1,MAX(1,COUNTA(Tbl歷史[統計年月]))-11+0),10),"")</f>
        <v/>
      </c>
      <c r="U101" s="84">
        <f>IFERROR(INDEX(Tbl歷史,MAX(1,MAX(1,COUNTA(Tbl歷史[統計年月]))-11+1),10),"")</f>
        <v/>
      </c>
      <c r="V101" s="84">
        <f>IFERROR(INDEX(Tbl歷史,MAX(1,MAX(1,COUNTA(Tbl歷史[統計年月]))-11+2),10),"")</f>
        <v/>
      </c>
      <c r="W101" s="84">
        <f>IFERROR(INDEX(Tbl歷史,MAX(1,MAX(1,COUNTA(Tbl歷史[統計年月]))-11+3),10),"")</f>
        <v/>
      </c>
      <c r="X101" s="84">
        <f>IFERROR(INDEX(Tbl歷史,MAX(1,MAX(1,COUNTA(Tbl歷史[統計年月]))-11+4),10),"")</f>
        <v/>
      </c>
      <c r="Y101" s="84">
        <f>IFERROR(INDEX(Tbl歷史,MAX(1,MAX(1,COUNTA(Tbl歷史[統計年月]))-11+5),10),"")</f>
        <v/>
      </c>
      <c r="Z101" s="84">
        <f>IFERROR(INDEX(Tbl歷史,MAX(1,MAX(1,COUNTA(Tbl歷史[統計年月]))-11+6),10),"")</f>
        <v/>
      </c>
      <c r="AA101" s="84">
        <f>IFERROR(INDEX(Tbl歷史,MAX(1,MAX(1,COUNTA(Tbl歷史[統計年月]))-11+7),10),"")</f>
        <v/>
      </c>
      <c r="AB101" s="84">
        <f>IFERROR(INDEX(Tbl歷史,MAX(1,MAX(1,COUNTA(Tbl歷史[統計年月]))-11+8),10),"")</f>
        <v/>
      </c>
      <c r="AC101" s="84">
        <f>IFERROR(INDEX(Tbl歷史,MAX(1,MAX(1,COUNTA(Tbl歷史[統計年月]))-11+9),10),"")</f>
        <v/>
      </c>
      <c r="AD101" s="84">
        <f>IFERROR(INDEX(Tbl歷史,MAX(1,MAX(1,COUNTA(Tbl歷史[統計年月]))-11+10),10),"")</f>
        <v/>
      </c>
      <c r="AE101" s="84">
        <f>IFERROR(INDEX(Tbl歷史,MAX(1,MAX(1,COUNTA(Tbl歷史[統計年月]))-11+11),10),"")</f>
        <v/>
      </c>
      <c r="AF101" s="83">
        <f>IF(OR(NOT(ISNUMBER(T101)),MAX($T101:$AE101)=MIN($T101:$AE101)),IF(ISNUMBER(T101),"▄",""),CHOOSE(1+MIN(7,MAX(0,ROUND((T101-MIN($T101:$AE101))/(MAX($T101:$AE101)-MIN($T101:$AE101))*7,0))),"▁","▂","▃","▄","▅","▆","▇","█"))</f>
        <v/>
      </c>
      <c r="AG101" s="83">
        <f>IF(OR(NOT(ISNUMBER(U101)),MAX($T101:$AE101)=MIN($T101:$AE101)),IF(ISNUMBER(U101),"▄",""),CHOOSE(1+MIN(7,MAX(0,ROUND((U101-MIN($T101:$AE101))/(MAX($T101:$AE101)-MIN($T101:$AE101))*7,0))),"▁","▂","▃","▄","▅","▆","▇","█"))</f>
        <v/>
      </c>
      <c r="AH101" s="83">
        <f>IF(OR(NOT(ISNUMBER(V101)),MAX($T101:$AE101)=MIN($T101:$AE101)),IF(ISNUMBER(V101),"▄",""),CHOOSE(1+MIN(7,MAX(0,ROUND((V101-MIN($T101:$AE101))/(MAX($T101:$AE101)-MIN($T101:$AE101))*7,0))),"▁","▂","▃","▄","▅","▆","▇","█"))</f>
        <v/>
      </c>
      <c r="AI101" s="83">
        <f>IF(OR(NOT(ISNUMBER(W101)),MAX($T101:$AE101)=MIN($T101:$AE101)),IF(ISNUMBER(W101),"▄",""),CHOOSE(1+MIN(7,MAX(0,ROUND((W101-MIN($T101:$AE101))/(MAX($T101:$AE101)-MIN($T101:$AE101))*7,0))),"▁","▂","▃","▄","▅","▆","▇","█"))</f>
        <v/>
      </c>
      <c r="AJ101" s="83">
        <f>IF(OR(NOT(ISNUMBER(X101)),MAX($T101:$AE101)=MIN($T101:$AE101)),IF(ISNUMBER(X101),"▄",""),CHOOSE(1+MIN(7,MAX(0,ROUND((X101-MIN($T101:$AE101))/(MAX($T101:$AE101)-MIN($T101:$AE101))*7,0))),"▁","▂","▃","▄","▅","▆","▇","█"))</f>
        <v/>
      </c>
      <c r="AK101" s="83">
        <f>IF(OR(NOT(ISNUMBER(Y101)),MAX($T101:$AE101)=MIN($T101:$AE101)),IF(ISNUMBER(Y101),"▄",""),CHOOSE(1+MIN(7,MAX(0,ROUND((Y101-MIN($T101:$AE101))/(MAX($T101:$AE101)-MIN($T101:$AE101))*7,0))),"▁","▂","▃","▄","▅","▆","▇","█"))</f>
        <v/>
      </c>
      <c r="AL101" s="83">
        <f>IF(OR(NOT(ISNUMBER(Z101)),MAX($T101:$AE101)=MIN($T101:$AE101)),IF(ISNUMBER(Z101),"▄",""),CHOOSE(1+MIN(7,MAX(0,ROUND((Z101-MIN($T101:$AE101))/(MAX($T101:$AE101)-MIN($T101:$AE101))*7,0))),"▁","▂","▃","▄","▅","▆","▇","█"))</f>
        <v/>
      </c>
      <c r="AM101" s="83">
        <f>IF(OR(NOT(ISNUMBER(AA101)),MAX($T101:$AE101)=MIN($T101:$AE101)),IF(ISNUMBER(AA101),"▄",""),CHOOSE(1+MIN(7,MAX(0,ROUND((AA101-MIN($T101:$AE101))/(MAX($T101:$AE101)-MIN($T101:$AE101))*7,0))),"▁","▂","▃","▄","▅","▆","▇","█"))</f>
        <v/>
      </c>
      <c r="AN101" s="83">
        <f>IF(OR(NOT(ISNUMBER(AB101)),MAX($T101:$AE101)=MIN($T101:$AE101)),IF(ISNUMBER(AB101),"▄",""),CHOOSE(1+MIN(7,MAX(0,ROUND((AB101-MIN($T101:$AE101))/(MAX($T101:$AE101)-MIN($T101:$AE101))*7,0))),"▁","▂","▃","▄","▅","▆","▇","█"))</f>
        <v/>
      </c>
      <c r="AO101" s="83">
        <f>IF(OR(NOT(ISNUMBER(AC101)),MAX($T101:$AE101)=MIN($T101:$AE101)),IF(ISNUMBER(AC101),"▄",""),CHOOSE(1+MIN(7,MAX(0,ROUND((AC101-MIN($T101:$AE101))/(MAX($T101:$AE101)-MIN($T101:$AE101))*7,0))),"▁","▂","▃","▄","▅","▆","▇","█"))</f>
        <v/>
      </c>
      <c r="AP101" s="83">
        <f>IF(OR(NOT(ISNUMBER(AD101)),MAX($T101:$AE101)=MIN($T101:$AE101)),IF(ISNUMBER(AD101),"▄",""),CHOOSE(1+MIN(7,MAX(0,ROUND((AD101-MIN($T101:$AE101))/(MAX($T101:$AE101)-MIN($T101:$AE101))*7,0))),"▁","▂","▃","▄","▅","▆","▇","█"))</f>
        <v/>
      </c>
      <c r="AQ101" s="83">
        <f>IF(OR(NOT(ISNUMBER(AE101)),MAX($T101:$AE101)=MIN($T101:$AE101)),IF(ISNUMBER(AE101),"▄",""),CHOOSE(1+MIN(7,MAX(0,ROUND((AE101-MIN($T101:$AE101))/(MAX($T101:$AE101)-MIN($T101:$AE101))*7,0))),"▁","▂","▃","▄","▅","▆","▇","█"))</f>
        <v/>
      </c>
      <c r="AR101" s="85">
        <f>IFERROR(CONCAT($AF101:$AQ101),"")</f>
        <v/>
      </c>
    </row>
    <row r="102" hidden="1">
      <c r="A102" s="83" t="inlineStr">
        <is>
          <t>03 未到驗人口</t>
        </is>
      </c>
      <c r="B102" s="83" t="n">
        <v>11</v>
      </c>
      <c r="T102" s="86">
        <f>IFERROR(INDEX(Tbl歷史,MAX(1,MAX(1,COUNTA(Tbl歷史[統計年月]))-11+0),11),"")</f>
        <v/>
      </c>
      <c r="U102" s="86">
        <f>IFERROR(INDEX(Tbl歷史,MAX(1,MAX(1,COUNTA(Tbl歷史[統計年月]))-11+1),11),"")</f>
        <v/>
      </c>
      <c r="V102" s="86">
        <f>IFERROR(INDEX(Tbl歷史,MAX(1,MAX(1,COUNTA(Tbl歷史[統計年月]))-11+2),11),"")</f>
        <v/>
      </c>
      <c r="W102" s="86">
        <f>IFERROR(INDEX(Tbl歷史,MAX(1,MAX(1,COUNTA(Tbl歷史[統計年月]))-11+3),11),"")</f>
        <v/>
      </c>
      <c r="X102" s="86">
        <f>IFERROR(INDEX(Tbl歷史,MAX(1,MAX(1,COUNTA(Tbl歷史[統計年月]))-11+4),11),"")</f>
        <v/>
      </c>
      <c r="Y102" s="86">
        <f>IFERROR(INDEX(Tbl歷史,MAX(1,MAX(1,COUNTA(Tbl歷史[統計年月]))-11+5),11),"")</f>
        <v/>
      </c>
      <c r="Z102" s="86">
        <f>IFERROR(INDEX(Tbl歷史,MAX(1,MAX(1,COUNTA(Tbl歷史[統計年月]))-11+6),11),"")</f>
        <v/>
      </c>
      <c r="AA102" s="86">
        <f>IFERROR(INDEX(Tbl歷史,MAX(1,MAX(1,COUNTA(Tbl歷史[統計年月]))-11+7),11),"")</f>
        <v/>
      </c>
      <c r="AB102" s="86">
        <f>IFERROR(INDEX(Tbl歷史,MAX(1,MAX(1,COUNTA(Tbl歷史[統計年月]))-11+8),11),"")</f>
        <v/>
      </c>
      <c r="AC102" s="86">
        <f>IFERROR(INDEX(Tbl歷史,MAX(1,MAX(1,COUNTA(Tbl歷史[統計年月]))-11+9),11),"")</f>
        <v/>
      </c>
      <c r="AD102" s="86">
        <f>IFERROR(INDEX(Tbl歷史,MAX(1,MAX(1,COUNTA(Tbl歷史[統計年月]))-11+10),11),"")</f>
        <v/>
      </c>
      <c r="AE102" s="86">
        <f>IFERROR(INDEX(Tbl歷史,MAX(1,MAX(1,COUNTA(Tbl歷史[統計年月]))-11+11),11),"")</f>
        <v/>
      </c>
      <c r="AF102" s="83">
        <f>IF(OR(NOT(ISNUMBER(T102)),MAX($T102:$AE102)=MIN($T102:$AE102)),IF(ISNUMBER(T102),"▄",""),CHOOSE(1+MIN(7,MAX(0,ROUND((T102-MIN($T102:$AE102))/(MAX($T102:$AE102)-MIN($T102:$AE102))*7,0))),"▁","▂","▃","▄","▅","▆","▇","█"))</f>
        <v/>
      </c>
      <c r="AG102" s="83">
        <f>IF(OR(NOT(ISNUMBER(U102)),MAX($T102:$AE102)=MIN($T102:$AE102)),IF(ISNUMBER(U102),"▄",""),CHOOSE(1+MIN(7,MAX(0,ROUND((U102-MIN($T102:$AE102))/(MAX($T102:$AE102)-MIN($T102:$AE102))*7,0))),"▁","▂","▃","▄","▅","▆","▇","█"))</f>
        <v/>
      </c>
      <c r="AH102" s="83">
        <f>IF(OR(NOT(ISNUMBER(V102)),MAX($T102:$AE102)=MIN($T102:$AE102)),IF(ISNUMBER(V102),"▄",""),CHOOSE(1+MIN(7,MAX(0,ROUND((V102-MIN($T102:$AE102))/(MAX($T102:$AE102)-MIN($T102:$AE102))*7,0))),"▁","▂","▃","▄","▅","▆","▇","█"))</f>
        <v/>
      </c>
      <c r="AI102" s="83">
        <f>IF(OR(NOT(ISNUMBER(W102)),MAX($T102:$AE102)=MIN($T102:$AE102)),IF(ISNUMBER(W102),"▄",""),CHOOSE(1+MIN(7,MAX(0,ROUND((W102-MIN($T102:$AE102))/(MAX($T102:$AE102)-MIN($T102:$AE102))*7,0))),"▁","▂","▃","▄","▅","▆","▇","█"))</f>
        <v/>
      </c>
      <c r="AJ102" s="83">
        <f>IF(OR(NOT(ISNUMBER(X102)),MAX($T102:$AE102)=MIN($T102:$AE102)),IF(ISNUMBER(X102),"▄",""),CHOOSE(1+MIN(7,MAX(0,ROUND((X102-MIN($T102:$AE102))/(MAX($T102:$AE102)-MIN($T102:$AE102))*7,0))),"▁","▂","▃","▄","▅","▆","▇","█"))</f>
        <v/>
      </c>
      <c r="AK102" s="83">
        <f>IF(OR(NOT(ISNUMBER(Y102)),MAX($T102:$AE102)=MIN($T102:$AE102)),IF(ISNUMBER(Y102),"▄",""),CHOOSE(1+MIN(7,MAX(0,ROUND((Y102-MIN($T102:$AE102))/(MAX($T102:$AE102)-MIN($T102:$AE102))*7,0))),"▁","▂","▃","▄","▅","▆","▇","█"))</f>
        <v/>
      </c>
      <c r="AL102" s="83">
        <f>IF(OR(NOT(ISNUMBER(Z102)),MAX($T102:$AE102)=MIN($T102:$AE102)),IF(ISNUMBER(Z102),"▄",""),CHOOSE(1+MIN(7,MAX(0,ROUND((Z102-MIN($T102:$AE102))/(MAX($T102:$AE102)-MIN($T102:$AE102))*7,0))),"▁","▂","▃","▄","▅","▆","▇","█"))</f>
        <v/>
      </c>
      <c r="AM102" s="83">
        <f>IF(OR(NOT(ISNUMBER(AA102)),MAX($T102:$AE102)=MIN($T102:$AE102)),IF(ISNUMBER(AA102),"▄",""),CHOOSE(1+MIN(7,MAX(0,ROUND((AA102-MIN($T102:$AE102))/(MAX($T102:$AE102)-MIN($T102:$AE102))*7,0))),"▁","▂","▃","▄","▅","▆","▇","█"))</f>
        <v/>
      </c>
      <c r="AN102" s="83">
        <f>IF(OR(NOT(ISNUMBER(AB102)),MAX($T102:$AE102)=MIN($T102:$AE102)),IF(ISNUMBER(AB102),"▄",""),CHOOSE(1+MIN(7,MAX(0,ROUND((AB102-MIN($T102:$AE102))/(MAX($T102:$AE102)-MIN($T102:$AE102))*7,0))),"▁","▂","▃","▄","▅","▆","▇","█"))</f>
        <v/>
      </c>
      <c r="AO102" s="83">
        <f>IF(OR(NOT(ISNUMBER(AC102)),MAX($T102:$AE102)=MIN($T102:$AE102)),IF(ISNUMBER(AC102),"▄",""),CHOOSE(1+MIN(7,MAX(0,ROUND((AC102-MIN($T102:$AE102))/(MAX($T102:$AE102)-MIN($T102:$AE102))*7,0))),"▁","▂","▃","▄","▅","▆","▇","█"))</f>
        <v/>
      </c>
      <c r="AP102" s="83">
        <f>IF(OR(NOT(ISNUMBER(AD102)),MAX($T102:$AE102)=MIN($T102:$AE102)),IF(ISNUMBER(AD102),"▄",""),CHOOSE(1+MIN(7,MAX(0,ROUND((AD102-MIN($T102:$AE102))/(MAX($T102:$AE102)-MIN($T102:$AE102))*7,0))),"▁","▂","▃","▄","▅","▆","▇","█"))</f>
        <v/>
      </c>
      <c r="AQ102" s="83">
        <f>IF(OR(NOT(ISNUMBER(AE102)),MAX($T102:$AE102)=MIN($T102:$AE102)),IF(ISNUMBER(AE102),"▄",""),CHOOSE(1+MIN(7,MAX(0,ROUND((AE102-MIN($T102:$AE102))/(MAX($T102:$AE102)-MIN($T102:$AE102))*7,0))),"▁","▂","▃","▄","▅","▆","▇","█"))</f>
        <v/>
      </c>
      <c r="AR102" s="85">
        <f>IFERROR(CONCAT($AF102:$AQ102),"")</f>
        <v/>
      </c>
    </row>
    <row r="103" hidden="1">
      <c r="A103" s="83" t="inlineStr">
        <is>
          <t>04 交通達標率</t>
        </is>
      </c>
      <c r="B103" s="83" t="n">
        <v>12</v>
      </c>
      <c r="T103" s="84">
        <f>IFERROR(INDEX(Tbl歷史,MAX(1,MAX(1,COUNTA(Tbl歷史[統計年月]))-11+0),12),"")</f>
        <v/>
      </c>
      <c r="U103" s="84">
        <f>IFERROR(INDEX(Tbl歷史,MAX(1,MAX(1,COUNTA(Tbl歷史[統計年月]))-11+1),12),"")</f>
        <v/>
      </c>
      <c r="V103" s="84">
        <f>IFERROR(INDEX(Tbl歷史,MAX(1,MAX(1,COUNTA(Tbl歷史[統計年月]))-11+2),12),"")</f>
        <v/>
      </c>
      <c r="W103" s="84">
        <f>IFERROR(INDEX(Tbl歷史,MAX(1,MAX(1,COUNTA(Tbl歷史[統計年月]))-11+3),12),"")</f>
        <v/>
      </c>
      <c r="X103" s="84">
        <f>IFERROR(INDEX(Tbl歷史,MAX(1,MAX(1,COUNTA(Tbl歷史[統計年月]))-11+4),12),"")</f>
        <v/>
      </c>
      <c r="Y103" s="84">
        <f>IFERROR(INDEX(Tbl歷史,MAX(1,MAX(1,COUNTA(Tbl歷史[統計年月]))-11+5),12),"")</f>
        <v/>
      </c>
      <c r="Z103" s="84">
        <f>IFERROR(INDEX(Tbl歷史,MAX(1,MAX(1,COUNTA(Tbl歷史[統計年月]))-11+6),12),"")</f>
        <v/>
      </c>
      <c r="AA103" s="84">
        <f>IFERROR(INDEX(Tbl歷史,MAX(1,MAX(1,COUNTA(Tbl歷史[統計年月]))-11+7),12),"")</f>
        <v/>
      </c>
      <c r="AB103" s="84">
        <f>IFERROR(INDEX(Tbl歷史,MAX(1,MAX(1,COUNTA(Tbl歷史[統計年月]))-11+8),12),"")</f>
        <v/>
      </c>
      <c r="AC103" s="84">
        <f>IFERROR(INDEX(Tbl歷史,MAX(1,MAX(1,COUNTA(Tbl歷史[統計年月]))-11+9),12),"")</f>
        <v/>
      </c>
      <c r="AD103" s="84">
        <f>IFERROR(INDEX(Tbl歷史,MAX(1,MAX(1,COUNTA(Tbl歷史[統計年月]))-11+10),12),"")</f>
        <v/>
      </c>
      <c r="AE103" s="84">
        <f>IFERROR(INDEX(Tbl歷史,MAX(1,MAX(1,COUNTA(Tbl歷史[統計年月]))-11+11),12),"")</f>
        <v/>
      </c>
      <c r="AF103" s="83">
        <f>IF(OR(NOT(ISNUMBER(T103)),MAX($T103:$AE103)=MIN($T103:$AE103)),IF(ISNUMBER(T103),"▄",""),CHOOSE(1+MIN(7,MAX(0,ROUND((T103-MIN($T103:$AE103))/(MAX($T103:$AE103)-MIN($T103:$AE103))*7,0))),"▁","▂","▃","▄","▅","▆","▇","█"))</f>
        <v/>
      </c>
      <c r="AG103" s="83">
        <f>IF(OR(NOT(ISNUMBER(U103)),MAX($T103:$AE103)=MIN($T103:$AE103)),IF(ISNUMBER(U103),"▄",""),CHOOSE(1+MIN(7,MAX(0,ROUND((U103-MIN($T103:$AE103))/(MAX($T103:$AE103)-MIN($T103:$AE103))*7,0))),"▁","▂","▃","▄","▅","▆","▇","█"))</f>
        <v/>
      </c>
      <c r="AH103" s="83">
        <f>IF(OR(NOT(ISNUMBER(V103)),MAX($T103:$AE103)=MIN($T103:$AE103)),IF(ISNUMBER(V103),"▄",""),CHOOSE(1+MIN(7,MAX(0,ROUND((V103-MIN($T103:$AE103))/(MAX($T103:$AE103)-MIN($T103:$AE103))*7,0))),"▁","▂","▃","▄","▅","▆","▇","█"))</f>
        <v/>
      </c>
      <c r="AI103" s="83">
        <f>IF(OR(NOT(ISNUMBER(W103)),MAX($T103:$AE103)=MIN($T103:$AE103)),IF(ISNUMBER(W103),"▄",""),CHOOSE(1+MIN(7,MAX(0,ROUND((W103-MIN($T103:$AE103))/(MAX($T103:$AE103)-MIN($T103:$AE103))*7,0))),"▁","▂","▃","▄","▅","▆","▇","█"))</f>
        <v/>
      </c>
      <c r="AJ103" s="83">
        <f>IF(OR(NOT(ISNUMBER(X103)),MAX($T103:$AE103)=MIN($T103:$AE103)),IF(ISNUMBER(X103),"▄",""),CHOOSE(1+MIN(7,MAX(0,ROUND((X103-MIN($T103:$AE103))/(MAX($T103:$AE103)-MIN($T103:$AE103))*7,0))),"▁","▂","▃","▄","▅","▆","▇","█"))</f>
        <v/>
      </c>
      <c r="AK103" s="83">
        <f>IF(OR(NOT(ISNUMBER(Y103)),MAX($T103:$AE103)=MIN($T103:$AE103)),IF(ISNUMBER(Y103),"▄",""),CHOOSE(1+MIN(7,MAX(0,ROUND((Y103-MIN($T103:$AE103))/(MAX($T103:$AE103)-MIN($T103:$AE103))*7,0))),"▁","▂","▃","▄","▅","▆","▇","█"))</f>
        <v/>
      </c>
      <c r="AL103" s="83">
        <f>IF(OR(NOT(ISNUMBER(Z103)),MAX($T103:$AE103)=MIN($T103:$AE103)),IF(ISNUMBER(Z103),"▄",""),CHOOSE(1+MIN(7,MAX(0,ROUND((Z103-MIN($T103:$AE103))/(MAX($T103:$AE103)-MIN($T103:$AE103))*7,0))),"▁","▂","▃","▄","▅","▆","▇","█"))</f>
        <v/>
      </c>
      <c r="AM103" s="83">
        <f>IF(OR(NOT(ISNUMBER(AA103)),MAX($T103:$AE103)=MIN($T103:$AE103)),IF(ISNUMBER(AA103),"▄",""),CHOOSE(1+MIN(7,MAX(0,ROUND((AA103-MIN($T103:$AE103))/(MAX($T103:$AE103)-MIN($T103:$AE103))*7,0))),"▁","▂","▃","▄","▅","▆","▇","█"))</f>
        <v/>
      </c>
      <c r="AN103" s="83">
        <f>IF(OR(NOT(ISNUMBER(AB103)),MAX($T103:$AE103)=MIN($T103:$AE103)),IF(ISNUMBER(AB103),"▄",""),CHOOSE(1+MIN(7,MAX(0,ROUND((AB103-MIN($T103:$AE103))/(MAX($T103:$AE103)-MIN($T103:$AE103))*7,0))),"▁","▂","▃","▄","▅","▆","▇","█"))</f>
        <v/>
      </c>
      <c r="AO103" s="83">
        <f>IF(OR(NOT(ISNUMBER(AC103)),MAX($T103:$AE103)=MIN($T103:$AE103)),IF(ISNUMBER(AC103),"▄",""),CHOOSE(1+MIN(7,MAX(0,ROUND((AC103-MIN($T103:$AE103))/(MAX($T103:$AE103)-MIN($T103:$AE103))*7,0))),"▁","▂","▃","▄","▅","▆","▇","█"))</f>
        <v/>
      </c>
      <c r="AP103" s="83">
        <f>IF(OR(NOT(ISNUMBER(AD103)),MAX($T103:$AE103)=MIN($T103:$AE103)),IF(ISNUMBER(AD103),"▄",""),CHOOSE(1+MIN(7,MAX(0,ROUND((AD103-MIN($T103:$AE103))/(MAX($T103:$AE103)-MIN($T103:$AE103))*7,0))),"▁","▂","▃","▄","▅","▆","▇","█"))</f>
        <v/>
      </c>
      <c r="AQ103" s="83">
        <f>IF(OR(NOT(ISNUMBER(AE103)),MAX($T103:$AE103)=MIN($T103:$AE103)),IF(ISNUMBER(AE103),"▄",""),CHOOSE(1+MIN(7,MAX(0,ROUND((AE103-MIN($T103:$AE103))/(MAX($T103:$AE103)-MIN($T103:$AE103))*7,0))),"▁","▂","▃","▄","▅","▆","▇","█"))</f>
        <v/>
      </c>
      <c r="AR103" s="85">
        <f>IFERROR(CONCAT($AF103:$AQ103),"")</f>
        <v/>
      </c>
    </row>
    <row r="104" hidden="1">
      <c r="A104" s="83" t="inlineStr">
        <is>
          <t>05 未破案件</t>
        </is>
      </c>
      <c r="B104" s="83" t="n">
        <v>3</v>
      </c>
      <c r="T104" s="86">
        <f>IFERROR(INDEX(Tbl歷史,MAX(1,MAX(1,COUNTA(Tbl歷史[統計年月]))-11+0),3),"")</f>
        <v/>
      </c>
      <c r="U104" s="86">
        <f>IFERROR(INDEX(Tbl歷史,MAX(1,MAX(1,COUNTA(Tbl歷史[統計年月]))-11+1),3),"")</f>
        <v/>
      </c>
      <c r="V104" s="86">
        <f>IFERROR(INDEX(Tbl歷史,MAX(1,MAX(1,COUNTA(Tbl歷史[統計年月]))-11+2),3),"")</f>
        <v/>
      </c>
      <c r="W104" s="86">
        <f>IFERROR(INDEX(Tbl歷史,MAX(1,MAX(1,COUNTA(Tbl歷史[統計年月]))-11+3),3),"")</f>
        <v/>
      </c>
      <c r="X104" s="86">
        <f>IFERROR(INDEX(Tbl歷史,MAX(1,MAX(1,COUNTA(Tbl歷史[統計年月]))-11+4),3),"")</f>
        <v/>
      </c>
      <c r="Y104" s="86">
        <f>IFERROR(INDEX(Tbl歷史,MAX(1,MAX(1,COUNTA(Tbl歷史[統計年月]))-11+5),3),"")</f>
        <v/>
      </c>
      <c r="Z104" s="86">
        <f>IFERROR(INDEX(Tbl歷史,MAX(1,MAX(1,COUNTA(Tbl歷史[統計年月]))-11+6),3),"")</f>
        <v/>
      </c>
      <c r="AA104" s="86">
        <f>IFERROR(INDEX(Tbl歷史,MAX(1,MAX(1,COUNTA(Tbl歷史[統計年月]))-11+7),3),"")</f>
        <v/>
      </c>
      <c r="AB104" s="86">
        <f>IFERROR(INDEX(Tbl歷史,MAX(1,MAX(1,COUNTA(Tbl歷史[統計年月]))-11+8),3),"")</f>
        <v/>
      </c>
      <c r="AC104" s="86">
        <f>IFERROR(INDEX(Tbl歷史,MAX(1,MAX(1,COUNTA(Tbl歷史[統計年月]))-11+9),3),"")</f>
        <v/>
      </c>
      <c r="AD104" s="86">
        <f>IFERROR(INDEX(Tbl歷史,MAX(1,MAX(1,COUNTA(Tbl歷史[統計年月]))-11+10),3),"")</f>
        <v/>
      </c>
      <c r="AE104" s="86">
        <f>IFERROR(INDEX(Tbl歷史,MAX(1,MAX(1,COUNTA(Tbl歷史[統計年月]))-11+11),3),"")</f>
        <v/>
      </c>
      <c r="AF104" s="83">
        <f>IF(OR(NOT(ISNUMBER(T104)),MAX($T104:$AE104)=MIN($T104:$AE104)),IF(ISNUMBER(T104),"▄",""),CHOOSE(1+MIN(7,MAX(0,ROUND((T104-MIN($T104:$AE104))/(MAX($T104:$AE104)-MIN($T104:$AE104))*7,0))),"▁","▂","▃","▄","▅","▆","▇","█"))</f>
        <v/>
      </c>
      <c r="AG104" s="83">
        <f>IF(OR(NOT(ISNUMBER(U104)),MAX($T104:$AE104)=MIN($T104:$AE104)),IF(ISNUMBER(U104),"▄",""),CHOOSE(1+MIN(7,MAX(0,ROUND((U104-MIN($T104:$AE104))/(MAX($T104:$AE104)-MIN($T104:$AE104))*7,0))),"▁","▂","▃","▄","▅","▆","▇","█"))</f>
        <v/>
      </c>
      <c r="AH104" s="83">
        <f>IF(OR(NOT(ISNUMBER(V104)),MAX($T104:$AE104)=MIN($T104:$AE104)),IF(ISNUMBER(V104),"▄",""),CHOOSE(1+MIN(7,MAX(0,ROUND((V104-MIN($T104:$AE104))/(MAX($T104:$AE104)-MIN($T104:$AE104))*7,0))),"▁","▂","▃","▄","▅","▆","▇","█"))</f>
        <v/>
      </c>
      <c r="AI104" s="83">
        <f>IF(OR(NOT(ISNUMBER(W104)),MAX($T104:$AE104)=MIN($T104:$AE104)),IF(ISNUMBER(W104),"▄",""),CHOOSE(1+MIN(7,MAX(0,ROUND((W104-MIN($T104:$AE104))/(MAX($T104:$AE104)-MIN($T104:$AE104))*7,0))),"▁","▂","▃","▄","▅","▆","▇","█"))</f>
        <v/>
      </c>
      <c r="AJ104" s="83">
        <f>IF(OR(NOT(ISNUMBER(X104)),MAX($T104:$AE104)=MIN($T104:$AE104)),IF(ISNUMBER(X104),"▄",""),CHOOSE(1+MIN(7,MAX(0,ROUND((X104-MIN($T104:$AE104))/(MAX($T104:$AE104)-MIN($T104:$AE104))*7,0))),"▁","▂","▃","▄","▅","▆","▇","█"))</f>
        <v/>
      </c>
      <c r="AK104" s="83">
        <f>IF(OR(NOT(ISNUMBER(Y104)),MAX($T104:$AE104)=MIN($T104:$AE104)),IF(ISNUMBER(Y104),"▄",""),CHOOSE(1+MIN(7,MAX(0,ROUND((Y104-MIN($T104:$AE104))/(MAX($T104:$AE104)-MIN($T104:$AE104))*7,0))),"▁","▂","▃","▄","▅","▆","▇","█"))</f>
        <v/>
      </c>
      <c r="AL104" s="83">
        <f>IF(OR(NOT(ISNUMBER(Z104)),MAX($T104:$AE104)=MIN($T104:$AE104)),IF(ISNUMBER(Z104),"▄",""),CHOOSE(1+MIN(7,MAX(0,ROUND((Z104-MIN($T104:$AE104))/(MAX($T104:$AE104)-MIN($T104:$AE104))*7,0))),"▁","▂","▃","▄","▅","▆","▇","█"))</f>
        <v/>
      </c>
      <c r="AM104" s="83">
        <f>IF(OR(NOT(ISNUMBER(AA104)),MAX($T104:$AE104)=MIN($T104:$AE104)),IF(ISNUMBER(AA104),"▄",""),CHOOSE(1+MIN(7,MAX(0,ROUND((AA104-MIN($T104:$AE104))/(MAX($T104:$AE104)-MIN($T104:$AE104))*7,0))),"▁","▂","▃","▄","▅","▆","▇","█"))</f>
        <v/>
      </c>
      <c r="AN104" s="83">
        <f>IF(OR(NOT(ISNUMBER(AB104)),MAX($T104:$AE104)=MIN($T104:$AE104)),IF(ISNUMBER(AB104),"▄",""),CHOOSE(1+MIN(7,MAX(0,ROUND((AB104-MIN($T104:$AE104))/(MAX($T104:$AE104)-MIN($T104:$AE104))*7,0))),"▁","▂","▃","▄","▅","▆","▇","█"))</f>
        <v/>
      </c>
      <c r="AO104" s="83">
        <f>IF(OR(NOT(ISNUMBER(AC104)),MAX($T104:$AE104)=MIN($T104:$AE104)),IF(ISNUMBER(AC104),"▄",""),CHOOSE(1+MIN(7,MAX(0,ROUND((AC104-MIN($T104:$AE104))/(MAX($T104:$AE104)-MIN($T104:$AE104))*7,0))),"▁","▂","▃","▄","▅","▆","▇","█"))</f>
        <v/>
      </c>
      <c r="AP104" s="83">
        <f>IF(OR(NOT(ISNUMBER(AD104)),MAX($T104:$AE104)=MIN($T104:$AE104)),IF(ISNUMBER(AD104),"▄",""),CHOOSE(1+MIN(7,MAX(0,ROUND((AD104-MIN($T104:$AE104))/(MAX($T104:$AE104)-MIN($T104:$AE104))*7,0))),"▁","▂","▃","▄","▅","▆","▇","█"))</f>
        <v/>
      </c>
      <c r="AQ104" s="83">
        <f>IF(OR(NOT(ISNUMBER(AE104)),MAX($T104:$AE104)=MIN($T104:$AE104)),IF(ISNUMBER(AE104),"▄",""),CHOOSE(1+MIN(7,MAX(0,ROUND((AE104-MIN($T104:$AE104))/(MAX($T104:$AE104)-MIN($T104:$AE104))*7,0))),"▁","▂","▃","▄","▅","▆","▇","█"))</f>
        <v/>
      </c>
      <c r="AR104" s="85">
        <f>IFERROR(CONCAT($AF104:$AQ104),"")</f>
        <v/>
      </c>
    </row>
    <row r="105" hidden="1"/>
    <row r="106" hidden="1"/>
    <row r="107" hidden="1"/>
    <row r="108" hidden="1"/>
    <row r="109" hidden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5">
    <mergeCell ref="A14:G14"/>
    <mergeCell ref="A19:G19"/>
    <mergeCell ref="A16:B16"/>
    <mergeCell ref="A1:G1"/>
    <mergeCell ref="A15:B15"/>
    <mergeCell ref="C16:D16"/>
    <mergeCell ref="C15:D15"/>
    <mergeCell ref="E17:G17"/>
    <mergeCell ref="A2:G2"/>
    <mergeCell ref="E15:G15"/>
    <mergeCell ref="C3:G3"/>
    <mergeCell ref="A17:B17"/>
    <mergeCell ref="C17:D17"/>
    <mergeCell ref="A5:G5"/>
    <mergeCell ref="E16:G16"/>
  </mergeCells>
  <dataValidations count="1">
    <dataValidation sqref="B3" showDropDown="0" showInputMessage="0" showErrorMessage="0" allowBlank="0" promptTitle="期間切換" prompt="期間：6 月 / 12 月 / 24 月" type="list">
      <formula1>"6 月,12 月,24 月"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G500"/>
  <sheetViews>
    <sheetView tabSelected="1" topLeftCell="A1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52" customWidth="1" min="3" max="3"/>
    <col width="16" customWidth="1" min="4" max="4"/>
    <col width="20" customWidth="1" min="5" max="5"/>
    <col width="14" customWidth="1" min="6" max="6"/>
    <col width="32" customWidth="1" min="7" max="7"/>
  </cols>
  <sheetData>
    <row r="1" ht="52" customHeight="1">
      <c r="A1" s="27" t="inlineStr">
        <is>
          <t xml:space="preserve">   🏢  派出所綜合管制系統 v2 — 設定表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全所 SSOT 底層 ｜ 22 個命名範圍 ｜ 部署時一次設定    ｜   版本：KKEVIN-LIN-2026-V2.0</t>
        </is>
      </c>
    </row>
    <row r="3" ht="12" customHeight="1"/>
    <row r="4" ht="44" customHeight="1">
      <c r="A4" s="3" t="inlineStr">
        <is>
          <t>📅 本系統日期</t>
        </is>
      </c>
      <c r="B4" s="4">
        <f>TODAY()</f>
        <v/>
      </c>
      <c r="C4" s="5" t="inlineStr">
        <is>
          <t xml:space="preserve">   ← 此格命名「今日」，全 v2 公式引用此格（避免 TODAY() 散落，性能優化）</t>
        </is>
      </c>
      <c r="D4" s="7" t="n"/>
      <c r="E4" s="7" t="n"/>
      <c r="F4" s="7" t="n"/>
      <c r="G4" s="8" t="n"/>
    </row>
    <row r="5" ht="12" customHeight="1">
      <c r="B5" s="232" t="n"/>
      <c r="C5" s="232" t="n"/>
      <c r="D5" s="232" t="n"/>
      <c r="E5" s="232" t="n"/>
      <c r="F5" s="232" t="n"/>
      <c r="G5" s="232" t="n"/>
    </row>
    <row r="6" ht="34" customHeight="1">
      <c r="A6" s="65" t="inlineStr">
        <is>
          <t xml:space="preserve">   📌  新增與維護指引（部署後可隨時更新；不需刪整列、改「是否啟用」即可保留歷史）</t>
        </is>
      </c>
      <c r="B6" s="6" t="n"/>
      <c r="C6" s="6" t="n"/>
      <c r="D6" s="6" t="n"/>
      <c r="E6" s="6" t="n"/>
      <c r="F6" s="6" t="n"/>
      <c r="G6" s="6" t="n"/>
    </row>
    <row r="7" ht="34" customHeight="1">
      <c r="A7" s="10" t="inlineStr">
        <is>
          <t>區</t>
        </is>
      </c>
      <c r="B7" s="235" t="inlineStr">
        <is>
          <t>項目</t>
        </is>
      </c>
      <c r="C7" s="235" t="inlineStr">
        <is>
          <t>新增方式</t>
        </is>
      </c>
      <c r="D7" s="235" t="inlineStr">
        <is>
          <t>上限</t>
        </is>
      </c>
      <c r="E7" s="235" t="inlineStr">
        <is>
          <t>停用/刪除</t>
        </is>
      </c>
      <c r="F7" s="235" t="inlineStr">
        <is>
          <t>連動影響</t>
        </is>
      </c>
      <c r="G7" s="236" t="inlineStr"/>
    </row>
    <row r="8" ht="30" customHeight="1">
      <c r="A8" s="12" t="inlineStr">
        <is>
          <t>B</t>
        </is>
      </c>
      <c r="B8" s="237" t="inlineStr">
        <is>
          <t>員警名冊</t>
        </is>
      </c>
      <c r="C8" s="231" t="inlineStr">
        <is>
          <t>下方空白列 key 入</t>
        </is>
      </c>
      <c r="D8" s="221" t="n"/>
      <c r="E8" s="238" t="inlineStr">
        <is>
          <t>60 名</t>
        </is>
      </c>
      <c r="F8" s="239" t="inlineStr">
        <is>
          <t>改「是否在職=否」</t>
        </is>
      </c>
      <c r="G8" s="240" t="inlineStr">
        <is>
          <t>下拉清單自動擴展</t>
        </is>
      </c>
    </row>
    <row r="9" ht="30" customHeight="1">
      <c r="A9" s="12" t="inlineStr">
        <is>
          <t>D</t>
        </is>
      </c>
      <c r="B9" s="237" t="inlineStr">
        <is>
          <t>案類分類</t>
        </is>
      </c>
      <c r="C9" s="231" t="inlineStr">
        <is>
          <t>下方空白列 key 入</t>
        </is>
      </c>
      <c r="D9" s="221" t="n"/>
      <c r="E9" s="238" t="inlineStr">
        <is>
          <t>67 列</t>
        </is>
      </c>
      <c r="F9" s="239" t="inlineStr">
        <is>
          <t>改「納入全般=否」</t>
        </is>
      </c>
      <c r="G9" s="240" t="inlineStr">
        <is>
          <t>頁 5/10 案類即時更新</t>
        </is>
      </c>
    </row>
    <row r="10" ht="30" customHeight="1">
      <c r="A10" s="12" t="inlineStr">
        <is>
          <t>E</t>
        </is>
      </c>
      <c r="B10" s="237" t="inlineStr">
        <is>
          <t>違規項目</t>
        </is>
      </c>
      <c r="C10" s="231" t="inlineStr">
        <is>
          <t>下方空白列 key 入</t>
        </is>
      </c>
      <c r="D10" s="221" t="n"/>
      <c r="E10" s="238" t="inlineStr">
        <is>
          <t>16 項</t>
        </is>
      </c>
      <c r="F10" s="239" t="inlineStr">
        <is>
          <t>改目標=0 或留白</t>
        </is>
      </c>
      <c r="G10" s="240" t="inlineStr">
        <is>
          <t>頁 9 達成率自動更新</t>
        </is>
      </c>
    </row>
    <row r="11" ht="30" customHeight="1">
      <c r="A11" s="12" t="inlineStr">
        <is>
          <t>F</t>
        </is>
      </c>
      <c r="B11" s="237" t="inlineStr">
        <is>
          <t>婦幼／協尋</t>
        </is>
      </c>
      <c r="C11" s="231" t="inlineStr">
        <is>
          <t>直接改件數＋更新日期</t>
        </is>
      </c>
      <c r="D11" s="221" t="n"/>
      <c r="E11" s="238" t="inlineStr">
        <is>
          <t>—</t>
        </is>
      </c>
      <c r="F11" s="239" t="inlineStr">
        <is>
          <t>件數=0 自動顯示「尚無」</t>
        </is>
      </c>
      <c r="G11" s="240" t="inlineStr">
        <is>
          <t>頁 2.5「其他管制」連動</t>
        </is>
      </c>
    </row>
    <row r="12" ht="30" customHeight="1">
      <c r="A12" s="12" t="inlineStr">
        <is>
          <t>C</t>
        </is>
      </c>
      <c r="B12" s="237" t="inlineStr">
        <is>
          <t>全所閾值</t>
        </is>
      </c>
      <c r="C12" s="231" t="inlineStr">
        <is>
          <t>改數值即可</t>
        </is>
      </c>
      <c r="D12" s="221" t="n"/>
      <c r="E12" s="238" t="inlineStr">
        <is>
          <t>—</t>
        </is>
      </c>
      <c r="F12" s="239" t="inlineStr">
        <is>
          <t>改回預設值</t>
        </is>
      </c>
      <c r="G12" s="240" t="inlineStr">
        <is>
          <t>各頁警示燈閾值跟著動</t>
        </is>
      </c>
    </row>
    <row r="13" ht="20" customHeight="1">
      <c r="B13" s="232" t="n"/>
      <c r="C13" s="232" t="n"/>
      <c r="D13" s="232" t="n"/>
      <c r="E13" s="232" t="n"/>
      <c r="F13" s="232" t="n"/>
      <c r="G13" s="232" t="n"/>
    </row>
    <row r="14" ht="38" customHeight="1">
      <c r="A14" s="65" t="inlineStr">
        <is>
          <t xml:space="preserve">  🏢  A 區 ─ 三層組織</t>
        </is>
      </c>
      <c r="B14" s="6" t="n"/>
      <c r="C14" s="6" t="n"/>
      <c r="D14" s="232" t="n"/>
      <c r="E14" s="232" t="n"/>
      <c r="F14" s="232" t="n"/>
      <c r="G14" s="232" t="n"/>
    </row>
    <row r="15" ht="34" customHeight="1">
      <c r="A15" s="10" t="inlineStr">
        <is>
          <t>項目</t>
        </is>
      </c>
      <c r="B15" s="235" t="inlineStr">
        <is>
          <t>值</t>
        </is>
      </c>
      <c r="C15" s="235" t="inlineStr">
        <is>
          <t>說明</t>
        </is>
      </c>
      <c r="D15" s="232" t="n"/>
      <c r="E15" s="232" t="n"/>
      <c r="F15" s="232" t="n"/>
      <c r="G15" s="232" t="n"/>
    </row>
    <row r="16" ht="30" customHeight="1">
      <c r="A16" s="13" t="inlineStr">
        <is>
          <t>警察局</t>
        </is>
      </c>
      <c r="B16" s="231" t="inlineStr">
        <is>
          <t>臺北市政府警察局</t>
        </is>
      </c>
      <c r="C16" s="240" t="inlineStr">
        <is>
          <t>全名（如「臺北市政府警察局」）</t>
        </is>
      </c>
      <c r="D16" s="232" t="n"/>
      <c r="E16" s="232" t="n"/>
      <c r="F16" s="232" t="n"/>
      <c r="G16" s="232" t="n"/>
    </row>
    <row r="17" ht="30" customHeight="1">
      <c r="A17" s="13" t="inlineStr">
        <is>
          <t>分局</t>
        </is>
      </c>
      <c r="B17" s="231" t="inlineStr">
        <is>
          <t>萬華分局</t>
        </is>
      </c>
      <c r="C17" s="240" t="inlineStr">
        <is>
          <t>如「萬華分局」</t>
        </is>
      </c>
      <c r="D17" s="232" t="n"/>
      <c r="E17" s="232" t="n"/>
      <c r="F17" s="232" t="n"/>
      <c r="G17" s="232" t="n"/>
    </row>
    <row r="18" ht="30" customHeight="1">
      <c r="A18" s="13" t="inlineStr">
        <is>
          <t>派出所</t>
        </is>
      </c>
      <c r="B18" s="231" t="inlineStr">
        <is>
          <t>康定路派出所</t>
        </is>
      </c>
      <c r="C18" s="240" t="inlineStr">
        <is>
          <t>如「康定路派出所」</t>
        </is>
      </c>
      <c r="D18" s="232" t="n"/>
      <c r="E18" s="232" t="n"/>
      <c r="F18" s="232" t="n"/>
      <c r="G18" s="232" t="n"/>
    </row>
    <row r="19" ht="30" customHeight="1">
      <c r="A19" s="13" t="inlineStr">
        <is>
          <t>派出所英文名</t>
        </is>
      </c>
      <c r="B19" s="231" t="inlineStr">
        <is>
          <t>KANGDING POLICE STATION</t>
        </is>
      </c>
      <c r="C19" s="240" t="inlineStr">
        <is>
          <t>給頁 2.5 章戳用</t>
        </is>
      </c>
      <c r="D19" s="232" t="n"/>
      <c r="E19" s="232" t="n"/>
      <c r="F19" s="232" t="n"/>
      <c r="G19" s="232" t="n"/>
    </row>
    <row r="20" ht="20" customHeight="1">
      <c r="B20" s="232" t="n"/>
      <c r="C20" s="232" t="n"/>
      <c r="D20" s="232" t="n"/>
      <c r="E20" s="232" t="n"/>
      <c r="F20" s="232" t="n"/>
      <c r="G20" s="232" t="n"/>
    </row>
    <row r="21" ht="38" customHeight="1">
      <c r="A21" s="65" t="inlineStr">
        <is>
          <t xml:space="preserve">  👮  B 區 ─ 員警名冊（最多 60 名）</t>
        </is>
      </c>
      <c r="B21" s="6" t="n"/>
      <c r="C21" s="6" t="n"/>
      <c r="D21" s="6" t="n"/>
      <c r="E21" s="6" t="n"/>
      <c r="F21" s="6" t="n"/>
      <c r="G21" s="6" t="n"/>
    </row>
    <row r="22" ht="30" customHeight="1">
      <c r="A22" s="18" t="inlineStr">
        <is>
          <t xml:space="preserve">   💡 新增員警：① 點下方任一空白列 → ② 直接 key 入 7 欄資料（編號/姓名/職稱⋯）→ ③ 員警下拉清單自動擴展。離職：改「是否在職=否」（保留歷史紀錄）</t>
        </is>
      </c>
      <c r="B22" s="7" t="n"/>
      <c r="C22" s="7" t="n"/>
      <c r="D22" s="7" t="n"/>
      <c r="E22" s="7" t="n"/>
      <c r="F22" s="7" t="n"/>
      <c r="G22" s="8" t="n"/>
    </row>
    <row r="23" ht="34" customHeight="1">
      <c r="A23" s="10" t="inlineStr">
        <is>
          <t>編號</t>
        </is>
      </c>
      <c r="B23" s="235" t="inlineStr">
        <is>
          <t>姓名</t>
        </is>
      </c>
      <c r="C23" s="235" t="inlineStr">
        <is>
          <t>職稱</t>
        </is>
      </c>
      <c r="D23" s="235" t="inlineStr">
        <is>
          <t>是否在職</t>
        </is>
      </c>
      <c r="E23" s="235" t="inlineStr">
        <is>
          <t>是否納入統計</t>
        </is>
      </c>
      <c r="F23" s="235" t="inlineStr">
        <is>
          <t>排序</t>
        </is>
      </c>
      <c r="G23" s="235" t="inlineStr">
        <is>
          <t>備註</t>
        </is>
      </c>
    </row>
    <row r="24" ht="30" customHeight="1">
      <c r="A24" s="19" t="n"/>
      <c r="B24" s="223" t="n"/>
      <c r="C24" s="223" t="n"/>
      <c r="D24" s="223" t="n"/>
      <c r="E24" s="223" t="n"/>
      <c r="F24" s="223" t="n"/>
      <c r="G24" s="223" t="n"/>
    </row>
    <row r="25" ht="30" customHeight="1">
      <c r="A25" s="19" t="n"/>
      <c r="B25" s="223" t="n"/>
      <c r="C25" s="223" t="n"/>
      <c r="D25" s="223" t="n"/>
      <c r="E25" s="223" t="n"/>
      <c r="F25" s="223" t="n"/>
      <c r="G25" s="223" t="n"/>
    </row>
    <row r="26" ht="30" customHeight="1">
      <c r="A26" s="19" t="n"/>
      <c r="B26" s="223" t="n"/>
      <c r="C26" s="223" t="n"/>
      <c r="D26" s="223" t="n"/>
      <c r="E26" s="223" t="n"/>
      <c r="F26" s="223" t="n"/>
      <c r="G26" s="223" t="n"/>
    </row>
    <row r="27" ht="30" customHeight="1">
      <c r="A27" s="20" t="inlineStr"/>
      <c r="B27" s="227" t="inlineStr"/>
      <c r="C27" s="227" t="inlineStr"/>
      <c r="D27" s="227" t="inlineStr"/>
      <c r="E27" s="227" t="inlineStr"/>
      <c r="F27" s="227" t="inlineStr"/>
      <c r="G27" s="227" t="inlineStr"/>
    </row>
    <row r="28" ht="30" customHeight="1">
      <c r="A28" s="20" t="inlineStr"/>
      <c r="B28" s="227" t="inlineStr"/>
      <c r="C28" s="227" t="inlineStr"/>
      <c r="D28" s="227" t="inlineStr"/>
      <c r="E28" s="227" t="inlineStr"/>
      <c r="F28" s="227" t="inlineStr"/>
      <c r="G28" s="227" t="inlineStr"/>
    </row>
    <row r="29" ht="30" customHeight="1">
      <c r="A29" s="20" t="inlineStr"/>
      <c r="B29" s="227" t="inlineStr"/>
      <c r="C29" s="227" t="inlineStr"/>
      <c r="D29" s="227" t="inlineStr"/>
      <c r="E29" s="227" t="inlineStr"/>
      <c r="F29" s="227" t="inlineStr"/>
      <c r="G29" s="227" t="inlineStr"/>
    </row>
    <row r="30" ht="30" customHeight="1">
      <c r="A30" s="20" t="inlineStr"/>
      <c r="B30" s="227" t="inlineStr"/>
      <c r="C30" s="227" t="inlineStr"/>
      <c r="D30" s="227" t="inlineStr"/>
      <c r="E30" s="227" t="inlineStr"/>
      <c r="F30" s="227" t="inlineStr"/>
      <c r="G30" s="227" t="inlineStr"/>
    </row>
    <row r="31" ht="30" customHeight="1">
      <c r="A31" s="20" t="inlineStr"/>
      <c r="B31" s="227" t="inlineStr"/>
      <c r="C31" s="227" t="inlineStr"/>
      <c r="D31" s="227" t="inlineStr"/>
      <c r="E31" s="227" t="inlineStr"/>
      <c r="F31" s="227" t="inlineStr"/>
      <c r="G31" s="227" t="inlineStr"/>
    </row>
    <row r="32" ht="30" customHeight="1">
      <c r="A32" s="20" t="inlineStr"/>
      <c r="B32" s="227" t="inlineStr"/>
      <c r="C32" s="227" t="inlineStr"/>
      <c r="D32" s="227" t="inlineStr"/>
      <c r="E32" s="227" t="inlineStr"/>
      <c r="F32" s="227" t="inlineStr"/>
      <c r="G32" s="227" t="inlineStr"/>
    </row>
    <row r="33" ht="30" customHeight="1">
      <c r="A33" s="20" t="inlineStr"/>
      <c r="B33" s="227" t="inlineStr"/>
      <c r="C33" s="227" t="inlineStr"/>
      <c r="D33" s="227" t="inlineStr"/>
      <c r="E33" s="227" t="inlineStr"/>
      <c r="F33" s="227" t="inlineStr"/>
      <c r="G33" s="227" t="inlineStr"/>
    </row>
    <row r="34" ht="30" customHeight="1">
      <c r="A34" s="20" t="inlineStr"/>
      <c r="B34" s="227" t="inlineStr"/>
      <c r="C34" s="227" t="inlineStr"/>
      <c r="D34" s="227" t="inlineStr"/>
      <c r="E34" s="227" t="inlineStr"/>
      <c r="F34" s="227" t="inlineStr"/>
      <c r="G34" s="227" t="inlineStr"/>
    </row>
    <row r="35" ht="30" customHeight="1">
      <c r="A35" s="20" t="inlineStr"/>
      <c r="B35" s="227" t="inlineStr"/>
      <c r="C35" s="227" t="inlineStr"/>
      <c r="D35" s="227" t="inlineStr"/>
      <c r="E35" s="227" t="inlineStr"/>
      <c r="F35" s="227" t="inlineStr"/>
      <c r="G35" s="227" t="inlineStr"/>
    </row>
    <row r="36" ht="30" customHeight="1">
      <c r="A36" s="20" t="inlineStr"/>
      <c r="B36" s="227" t="inlineStr"/>
      <c r="C36" s="227" t="inlineStr"/>
      <c r="D36" s="227" t="inlineStr"/>
      <c r="E36" s="227" t="inlineStr"/>
      <c r="F36" s="227" t="inlineStr"/>
      <c r="G36" s="227" t="inlineStr"/>
    </row>
    <row r="37" ht="30" customHeight="1">
      <c r="A37" s="20" t="inlineStr"/>
      <c r="B37" s="227" t="inlineStr"/>
      <c r="C37" s="227" t="inlineStr"/>
      <c r="D37" s="227" t="inlineStr"/>
      <c r="E37" s="227" t="inlineStr"/>
      <c r="F37" s="227" t="inlineStr"/>
      <c r="G37" s="227" t="inlineStr"/>
    </row>
    <row r="38" ht="30" customHeight="1">
      <c r="A38" s="20" t="inlineStr"/>
      <c r="B38" s="227" t="inlineStr"/>
      <c r="C38" s="227" t="inlineStr"/>
      <c r="D38" s="227" t="inlineStr"/>
      <c r="E38" s="227" t="inlineStr"/>
      <c r="F38" s="227" t="inlineStr"/>
      <c r="G38" s="227" t="inlineStr"/>
    </row>
    <row r="39" ht="30" customHeight="1">
      <c r="A39" s="20" t="inlineStr"/>
      <c r="B39" s="227" t="inlineStr"/>
      <c r="C39" s="227" t="inlineStr"/>
      <c r="D39" s="227" t="inlineStr"/>
      <c r="E39" s="227" t="inlineStr"/>
      <c r="F39" s="227" t="inlineStr"/>
      <c r="G39" s="227" t="inlineStr"/>
    </row>
    <row r="40" ht="30" customHeight="1">
      <c r="A40" s="20" t="inlineStr"/>
      <c r="B40" s="227" t="inlineStr"/>
      <c r="C40" s="227" t="inlineStr"/>
      <c r="D40" s="227" t="inlineStr"/>
      <c r="E40" s="227" t="inlineStr"/>
      <c r="F40" s="227" t="inlineStr"/>
      <c r="G40" s="227" t="inlineStr"/>
    </row>
    <row r="41" ht="30" customHeight="1">
      <c r="A41" s="20" t="inlineStr"/>
      <c r="B41" s="227" t="inlineStr"/>
      <c r="C41" s="227" t="inlineStr"/>
      <c r="D41" s="227" t="inlineStr"/>
      <c r="E41" s="227" t="inlineStr"/>
      <c r="F41" s="227" t="inlineStr"/>
      <c r="G41" s="227" t="inlineStr"/>
    </row>
    <row r="42" ht="30" customHeight="1">
      <c r="A42" s="20" t="inlineStr"/>
      <c r="B42" s="227" t="inlineStr"/>
      <c r="C42" s="227" t="inlineStr"/>
      <c r="D42" s="227" t="inlineStr"/>
      <c r="E42" s="227" t="inlineStr"/>
      <c r="F42" s="227" t="inlineStr"/>
      <c r="G42" s="227" t="inlineStr"/>
    </row>
    <row r="43" ht="30" customHeight="1">
      <c r="A43" s="20" t="inlineStr"/>
      <c r="B43" s="227" t="inlineStr"/>
      <c r="C43" s="227" t="inlineStr"/>
      <c r="D43" s="227" t="inlineStr"/>
      <c r="E43" s="227" t="inlineStr"/>
      <c r="F43" s="227" t="inlineStr"/>
      <c r="G43" s="227" t="inlineStr"/>
    </row>
    <row r="44" ht="30" customHeight="1">
      <c r="A44" s="20" t="inlineStr"/>
      <c r="B44" s="227" t="inlineStr"/>
      <c r="C44" s="227" t="inlineStr"/>
      <c r="D44" s="227" t="inlineStr"/>
      <c r="E44" s="227" t="inlineStr"/>
      <c r="F44" s="227" t="inlineStr"/>
      <c r="G44" s="227" t="inlineStr"/>
    </row>
    <row r="45" ht="30" customHeight="1">
      <c r="A45" s="20" t="inlineStr"/>
      <c r="B45" s="227" t="inlineStr"/>
      <c r="C45" s="227" t="inlineStr"/>
      <c r="D45" s="227" t="inlineStr"/>
      <c r="E45" s="227" t="inlineStr"/>
      <c r="F45" s="227" t="inlineStr"/>
      <c r="G45" s="227" t="inlineStr"/>
    </row>
    <row r="46" ht="30" customHeight="1">
      <c r="A46" s="20" t="inlineStr"/>
      <c r="B46" s="227" t="inlineStr"/>
      <c r="C46" s="227" t="inlineStr"/>
      <c r="D46" s="227" t="inlineStr"/>
      <c r="E46" s="227" t="inlineStr"/>
      <c r="F46" s="227" t="inlineStr"/>
      <c r="G46" s="227" t="inlineStr"/>
    </row>
    <row r="47" ht="30" customHeight="1">
      <c r="A47" s="20" t="inlineStr"/>
      <c r="B47" s="227" t="inlineStr"/>
      <c r="C47" s="227" t="inlineStr"/>
      <c r="D47" s="227" t="inlineStr"/>
      <c r="E47" s="227" t="inlineStr"/>
      <c r="F47" s="227" t="inlineStr"/>
      <c r="G47" s="227" t="inlineStr"/>
    </row>
    <row r="48" ht="30" customHeight="1">
      <c r="A48" s="20" t="inlineStr"/>
      <c r="B48" s="227" t="inlineStr"/>
      <c r="C48" s="227" t="inlineStr"/>
      <c r="D48" s="227" t="inlineStr"/>
      <c r="E48" s="227" t="inlineStr"/>
      <c r="F48" s="227" t="inlineStr"/>
      <c r="G48" s="227" t="inlineStr"/>
    </row>
    <row r="49" ht="30" customHeight="1">
      <c r="A49" s="20" t="inlineStr"/>
      <c r="B49" s="227" t="inlineStr"/>
      <c r="C49" s="227" t="inlineStr"/>
      <c r="D49" s="227" t="inlineStr"/>
      <c r="E49" s="227" t="inlineStr"/>
      <c r="F49" s="227" t="inlineStr"/>
      <c r="G49" s="227" t="inlineStr"/>
    </row>
    <row r="50" ht="30" customHeight="1">
      <c r="A50" s="20" t="inlineStr"/>
      <c r="B50" s="227" t="inlineStr"/>
      <c r="C50" s="227" t="inlineStr"/>
      <c r="D50" s="227" t="inlineStr"/>
      <c r="E50" s="227" t="inlineStr"/>
      <c r="F50" s="227" t="inlineStr"/>
      <c r="G50" s="227" t="inlineStr"/>
    </row>
    <row r="51" ht="30" customHeight="1">
      <c r="A51" s="20" t="inlineStr"/>
      <c r="B51" s="227" t="inlineStr"/>
      <c r="C51" s="227" t="inlineStr"/>
      <c r="D51" s="227" t="inlineStr"/>
      <c r="E51" s="227" t="inlineStr"/>
      <c r="F51" s="227" t="inlineStr"/>
      <c r="G51" s="227" t="inlineStr"/>
    </row>
    <row r="52" ht="30" customHeight="1">
      <c r="A52" s="20" t="inlineStr"/>
      <c r="B52" s="227" t="inlineStr"/>
      <c r="C52" s="227" t="inlineStr"/>
      <c r="D52" s="227" t="inlineStr"/>
      <c r="E52" s="227" t="inlineStr"/>
      <c r="F52" s="227" t="inlineStr"/>
      <c r="G52" s="227" t="inlineStr"/>
    </row>
    <row r="53" ht="30" customHeight="1">
      <c r="A53" s="20" t="inlineStr"/>
      <c r="B53" s="227" t="inlineStr"/>
      <c r="C53" s="227" t="inlineStr"/>
      <c r="D53" s="227" t="inlineStr"/>
      <c r="E53" s="227" t="inlineStr"/>
      <c r="F53" s="227" t="inlineStr"/>
      <c r="G53" s="227" t="inlineStr"/>
    </row>
    <row r="54" ht="30" customHeight="1">
      <c r="A54" s="20" t="inlineStr"/>
      <c r="B54" s="227" t="inlineStr"/>
      <c r="C54" s="227" t="inlineStr"/>
      <c r="D54" s="227" t="inlineStr"/>
      <c r="E54" s="227" t="inlineStr"/>
      <c r="F54" s="227" t="inlineStr"/>
      <c r="G54" s="227" t="inlineStr"/>
    </row>
    <row r="55" ht="30" customHeight="1">
      <c r="A55" s="20" t="inlineStr"/>
      <c r="B55" s="227" t="inlineStr"/>
      <c r="C55" s="227" t="inlineStr"/>
      <c r="D55" s="227" t="inlineStr"/>
      <c r="E55" s="227" t="inlineStr"/>
      <c r="F55" s="227" t="inlineStr"/>
      <c r="G55" s="227" t="inlineStr"/>
    </row>
    <row r="56" ht="30" customHeight="1">
      <c r="A56" s="20" t="inlineStr"/>
      <c r="B56" s="227" t="inlineStr"/>
      <c r="C56" s="227" t="inlineStr"/>
      <c r="D56" s="227" t="inlineStr"/>
      <c r="E56" s="227" t="inlineStr"/>
      <c r="F56" s="227" t="inlineStr"/>
      <c r="G56" s="227" t="inlineStr"/>
    </row>
    <row r="57" ht="30" customHeight="1">
      <c r="A57" s="20" t="inlineStr"/>
      <c r="B57" s="227" t="inlineStr"/>
      <c r="C57" s="227" t="inlineStr"/>
      <c r="D57" s="227" t="inlineStr"/>
      <c r="E57" s="227" t="inlineStr"/>
      <c r="F57" s="227" t="inlineStr"/>
      <c r="G57" s="227" t="inlineStr"/>
    </row>
    <row r="58" ht="30" customHeight="1">
      <c r="A58" s="20" t="inlineStr"/>
      <c r="B58" s="227" t="inlineStr"/>
      <c r="C58" s="227" t="inlineStr"/>
      <c r="D58" s="227" t="inlineStr"/>
      <c r="E58" s="227" t="inlineStr"/>
      <c r="F58" s="227" t="inlineStr"/>
      <c r="G58" s="227" t="inlineStr"/>
    </row>
    <row r="59" ht="30" customHeight="1">
      <c r="A59" s="20" t="inlineStr"/>
      <c r="B59" s="227" t="inlineStr"/>
      <c r="C59" s="227" t="inlineStr"/>
      <c r="D59" s="227" t="inlineStr"/>
      <c r="E59" s="227" t="inlineStr"/>
      <c r="F59" s="227" t="inlineStr"/>
      <c r="G59" s="227" t="inlineStr"/>
    </row>
    <row r="60" ht="30" customHeight="1">
      <c r="A60" s="20" t="inlineStr"/>
      <c r="B60" s="227" t="inlineStr"/>
      <c r="C60" s="227" t="inlineStr"/>
      <c r="D60" s="227" t="inlineStr"/>
      <c r="E60" s="227" t="inlineStr"/>
      <c r="F60" s="227" t="inlineStr"/>
      <c r="G60" s="227" t="inlineStr"/>
    </row>
    <row r="61" ht="30" customHeight="1">
      <c r="A61" s="20" t="inlineStr"/>
      <c r="B61" s="227" t="inlineStr"/>
      <c r="C61" s="227" t="inlineStr"/>
      <c r="D61" s="227" t="inlineStr"/>
      <c r="E61" s="227" t="inlineStr"/>
      <c r="F61" s="227" t="inlineStr"/>
      <c r="G61" s="227" t="inlineStr"/>
    </row>
    <row r="62" ht="30" customHeight="1">
      <c r="A62" s="20" t="inlineStr"/>
      <c r="B62" s="227" t="inlineStr"/>
      <c r="C62" s="227" t="inlineStr"/>
      <c r="D62" s="227" t="inlineStr"/>
      <c r="E62" s="227" t="inlineStr"/>
      <c r="F62" s="227" t="inlineStr"/>
      <c r="G62" s="227" t="inlineStr"/>
    </row>
    <row r="63" ht="30" customHeight="1">
      <c r="A63" s="20" t="inlineStr"/>
      <c r="B63" s="227" t="inlineStr"/>
      <c r="C63" s="227" t="inlineStr"/>
      <c r="D63" s="227" t="inlineStr"/>
      <c r="E63" s="227" t="inlineStr"/>
      <c r="F63" s="227" t="inlineStr"/>
      <c r="G63" s="227" t="inlineStr"/>
    </row>
    <row r="64" ht="30" customHeight="1">
      <c r="A64" s="20" t="inlineStr"/>
      <c r="B64" s="227" t="inlineStr"/>
      <c r="C64" s="227" t="inlineStr"/>
      <c r="D64" s="227" t="inlineStr"/>
      <c r="E64" s="227" t="inlineStr"/>
      <c r="F64" s="227" t="inlineStr"/>
      <c r="G64" s="227" t="inlineStr"/>
    </row>
    <row r="65" ht="30" customHeight="1">
      <c r="A65" s="20" t="inlineStr"/>
      <c r="B65" s="227" t="inlineStr"/>
      <c r="C65" s="227" t="inlineStr"/>
      <c r="D65" s="227" t="inlineStr"/>
      <c r="E65" s="227" t="inlineStr"/>
      <c r="F65" s="227" t="inlineStr"/>
      <c r="G65" s="227" t="inlineStr"/>
    </row>
    <row r="66" ht="30" customHeight="1">
      <c r="A66" s="20" t="inlineStr"/>
      <c r="B66" s="227" t="inlineStr"/>
      <c r="C66" s="227" t="inlineStr"/>
      <c r="D66" s="227" t="inlineStr"/>
      <c r="E66" s="227" t="inlineStr"/>
      <c r="F66" s="227" t="inlineStr"/>
      <c r="G66" s="227" t="inlineStr"/>
    </row>
    <row r="67" ht="30" customHeight="1">
      <c r="A67" s="20" t="inlineStr"/>
      <c r="B67" s="227" t="inlineStr"/>
      <c r="C67" s="227" t="inlineStr"/>
      <c r="D67" s="227" t="inlineStr"/>
      <c r="E67" s="227" t="inlineStr"/>
      <c r="F67" s="227" t="inlineStr"/>
      <c r="G67" s="227" t="inlineStr"/>
    </row>
    <row r="68" ht="30" customHeight="1">
      <c r="A68" s="20" t="inlineStr"/>
      <c r="B68" s="227" t="inlineStr"/>
      <c r="C68" s="227" t="inlineStr"/>
      <c r="D68" s="227" t="inlineStr"/>
      <c r="E68" s="227" t="inlineStr"/>
      <c r="F68" s="227" t="inlineStr"/>
      <c r="G68" s="227" t="inlineStr"/>
    </row>
    <row r="69" ht="30" customHeight="1">
      <c r="A69" s="20" t="inlineStr"/>
      <c r="B69" s="227" t="inlineStr"/>
      <c r="C69" s="227" t="inlineStr"/>
      <c r="D69" s="227" t="inlineStr"/>
      <c r="E69" s="227" t="inlineStr"/>
      <c r="F69" s="227" t="inlineStr"/>
      <c r="G69" s="227" t="inlineStr"/>
    </row>
    <row r="70" ht="30" customHeight="1">
      <c r="A70" s="20" t="inlineStr"/>
      <c r="B70" s="227" t="inlineStr"/>
      <c r="C70" s="227" t="inlineStr"/>
      <c r="D70" s="227" t="inlineStr"/>
      <c r="E70" s="227" t="inlineStr"/>
      <c r="F70" s="227" t="inlineStr"/>
      <c r="G70" s="227" t="inlineStr"/>
    </row>
    <row r="71" ht="30" customHeight="1">
      <c r="A71" s="20" t="inlineStr"/>
      <c r="B71" s="227" t="inlineStr"/>
      <c r="C71" s="227" t="inlineStr"/>
      <c r="D71" s="227" t="inlineStr"/>
      <c r="E71" s="227" t="inlineStr"/>
      <c r="F71" s="227" t="inlineStr"/>
      <c r="G71" s="227" t="inlineStr"/>
    </row>
    <row r="72" ht="30" customHeight="1">
      <c r="A72" s="20" t="inlineStr"/>
      <c r="B72" s="227" t="inlineStr"/>
      <c r="C72" s="227" t="inlineStr"/>
      <c r="D72" s="227" t="inlineStr"/>
      <c r="E72" s="227" t="inlineStr"/>
      <c r="F72" s="227" t="inlineStr"/>
      <c r="G72" s="227" t="inlineStr"/>
    </row>
    <row r="73" ht="30" customHeight="1">
      <c r="A73" s="20" t="inlineStr"/>
      <c r="B73" s="227" t="inlineStr"/>
      <c r="C73" s="227" t="inlineStr"/>
      <c r="D73" s="227" t="inlineStr"/>
      <c r="E73" s="227" t="inlineStr"/>
      <c r="F73" s="227" t="inlineStr"/>
      <c r="G73" s="227" t="inlineStr"/>
    </row>
    <row r="74" ht="30" customHeight="1">
      <c r="A74" s="20" t="inlineStr"/>
      <c r="B74" s="227" t="inlineStr"/>
      <c r="C74" s="227" t="inlineStr"/>
      <c r="D74" s="227" t="inlineStr"/>
      <c r="E74" s="227" t="inlineStr"/>
      <c r="F74" s="227" t="inlineStr"/>
      <c r="G74" s="227" t="inlineStr"/>
    </row>
    <row r="75" ht="30" customHeight="1">
      <c r="A75" s="20" t="inlineStr"/>
      <c r="B75" s="227" t="inlineStr"/>
      <c r="C75" s="227" t="inlineStr"/>
      <c r="D75" s="227" t="inlineStr"/>
      <c r="E75" s="227" t="inlineStr"/>
      <c r="F75" s="227" t="inlineStr"/>
      <c r="G75" s="227" t="inlineStr"/>
    </row>
    <row r="76" ht="30" customHeight="1">
      <c r="A76" s="20" t="inlineStr"/>
      <c r="B76" s="227" t="inlineStr"/>
      <c r="C76" s="227" t="inlineStr"/>
      <c r="D76" s="227" t="inlineStr"/>
      <c r="E76" s="227" t="inlineStr"/>
      <c r="F76" s="227" t="inlineStr"/>
      <c r="G76" s="227" t="inlineStr"/>
    </row>
    <row r="77" ht="30" customHeight="1">
      <c r="A77" s="20" t="inlineStr"/>
      <c r="B77" s="227" t="inlineStr"/>
      <c r="C77" s="227" t="inlineStr"/>
      <c r="D77" s="227" t="inlineStr"/>
      <c r="E77" s="227" t="inlineStr"/>
      <c r="F77" s="227" t="inlineStr"/>
      <c r="G77" s="227" t="inlineStr"/>
    </row>
    <row r="78" ht="30" customHeight="1">
      <c r="A78" s="20" t="inlineStr"/>
      <c r="B78" s="227" t="inlineStr"/>
      <c r="C78" s="227" t="inlineStr"/>
      <c r="D78" s="227" t="inlineStr"/>
      <c r="E78" s="227" t="inlineStr"/>
      <c r="F78" s="227" t="inlineStr"/>
      <c r="G78" s="227" t="inlineStr"/>
    </row>
    <row r="79" ht="30" customHeight="1">
      <c r="A79" s="20" t="inlineStr"/>
      <c r="B79" s="227" t="inlineStr"/>
      <c r="C79" s="227" t="inlineStr"/>
      <c r="D79" s="227" t="inlineStr"/>
      <c r="E79" s="227" t="inlineStr"/>
      <c r="F79" s="227" t="inlineStr"/>
      <c r="G79" s="227" t="inlineStr"/>
    </row>
    <row r="80" ht="30" customHeight="1">
      <c r="A80" s="20" t="inlineStr"/>
      <c r="B80" s="227" t="inlineStr"/>
      <c r="C80" s="227" t="inlineStr"/>
      <c r="D80" s="227" t="inlineStr"/>
      <c r="E80" s="227" t="inlineStr"/>
      <c r="F80" s="227" t="inlineStr"/>
      <c r="G80" s="227" t="inlineStr"/>
    </row>
    <row r="81" ht="30" customHeight="1">
      <c r="A81" s="20" t="inlineStr"/>
      <c r="B81" s="227" t="inlineStr"/>
      <c r="C81" s="227" t="inlineStr"/>
      <c r="D81" s="227" t="inlineStr"/>
      <c r="E81" s="227" t="inlineStr"/>
      <c r="F81" s="227" t="inlineStr"/>
      <c r="G81" s="227" t="inlineStr"/>
    </row>
    <row r="82" ht="30" customHeight="1">
      <c r="A82" s="20" t="inlineStr"/>
      <c r="B82" s="227" t="inlineStr"/>
      <c r="C82" s="227" t="inlineStr"/>
      <c r="D82" s="227" t="inlineStr"/>
      <c r="E82" s="227" t="inlineStr"/>
      <c r="F82" s="227" t="inlineStr"/>
      <c r="G82" s="227" t="inlineStr"/>
    </row>
    <row r="83" ht="30" customHeight="1">
      <c r="A83" s="20" t="inlineStr"/>
      <c r="B83" s="227" t="inlineStr"/>
      <c r="C83" s="227" t="inlineStr"/>
      <c r="D83" s="227" t="inlineStr"/>
      <c r="E83" s="227" t="inlineStr"/>
      <c r="F83" s="227" t="inlineStr"/>
      <c r="G83" s="227" t="inlineStr"/>
    </row>
    <row r="84" ht="20" customHeight="1">
      <c r="B84" s="232" t="n"/>
      <c r="C84" s="232" t="n"/>
      <c r="D84" s="232" t="n"/>
      <c r="E84" s="232" t="n"/>
      <c r="F84" s="232" t="n"/>
      <c r="G84" s="232" t="n"/>
    </row>
    <row r="85" ht="38" customHeight="1">
      <c r="A85" s="65" t="inlineStr">
        <is>
          <t xml:space="preserve">  ⚙  C 區 ─ 全所閾值    ｜ 性能關鍵：TODAY() 集中於此區</t>
        </is>
      </c>
      <c r="B85" s="6" t="n"/>
      <c r="C85" s="6" t="n"/>
      <c r="D85" s="232" t="n"/>
      <c r="E85" s="232" t="n"/>
      <c r="F85" s="232" t="n"/>
      <c r="G85" s="232" t="n"/>
    </row>
    <row r="86" ht="34" customHeight="1">
      <c r="A86" s="10" t="inlineStr">
        <is>
          <t>項目</t>
        </is>
      </c>
      <c r="B86" s="235" t="inlineStr">
        <is>
          <t>值</t>
        </is>
      </c>
      <c r="C86" s="235" t="inlineStr">
        <is>
          <t>說明</t>
        </is>
      </c>
      <c r="D86" s="232" t="n"/>
      <c r="E86" s="232" t="n"/>
      <c r="F86" s="232" t="n"/>
      <c r="G86" s="232" t="n"/>
    </row>
    <row r="87" ht="30" customHeight="1">
      <c r="A87" s="13" t="inlineStr">
        <is>
          <t>毒調率目標</t>
        </is>
      </c>
      <c r="B87" s="241" t="n">
        <v>0.6</v>
      </c>
      <c r="C87" s="240" t="inlineStr">
        <is>
          <t>目標達成率（預設 60%）</t>
        </is>
      </c>
      <c r="D87" s="232" t="n"/>
      <c r="E87" s="232" t="n"/>
      <c r="F87" s="232" t="n"/>
      <c r="G87" s="232" t="n"/>
    </row>
    <row r="88" ht="30" customHeight="1">
      <c r="A88" s="13" t="inlineStr">
        <is>
          <t>新進案件閾值（日）</t>
        </is>
      </c>
      <c r="B88" s="242" t="n">
        <v>7</v>
      </c>
      <c r="C88" s="240" t="inlineStr">
        <is>
          <t>發展中案件新進的天數上限（v2.1 改 7 日更敏感）</t>
        </is>
      </c>
      <c r="D88" s="232" t="n"/>
      <c r="E88" s="232" t="n"/>
      <c r="F88" s="232" t="n"/>
      <c r="G88" s="232" t="n"/>
    </row>
    <row r="89" ht="30" customHeight="1">
      <c r="A89" s="13" t="inlineStr">
        <is>
          <t>老案閾值（日）</t>
        </is>
      </c>
      <c r="B89" s="242" t="n">
        <v>30</v>
      </c>
      <c r="C89" s="240" t="inlineStr">
        <is>
          <t>發展中案件老案的天數下限（v2.1 改 30 日更敏感）</t>
        </is>
      </c>
      <c r="D89" s="232" t="n"/>
      <c r="E89" s="232" t="n"/>
      <c r="F89" s="232" t="n"/>
      <c r="G89" s="232" t="n"/>
    </row>
    <row r="90" ht="30" customHeight="1">
      <c r="A90" s="13" t="inlineStr">
        <is>
          <t>案件容量警示（列）</t>
        </is>
      </c>
      <c r="B90" s="242" t="n">
        <v>800</v>
      </c>
      <c r="C90" s="240" t="inlineStr">
        <is>
          <t>案件資料庫達此列數系統檢核黃燈</t>
        </is>
      </c>
      <c r="D90" s="232" t="n"/>
      <c r="E90" s="232" t="n"/>
      <c r="F90" s="232" t="n"/>
      <c r="G90" s="232" t="n"/>
    </row>
    <row r="91" ht="30" customHeight="1">
      <c r="A91" s="13" t="inlineStr">
        <is>
          <t>案件容量上限（列）</t>
        </is>
      </c>
      <c r="B91" s="242" t="n">
        <v>1000</v>
      </c>
      <c r="C91" s="240" t="inlineStr">
        <is>
          <t>案件資料庫絕對上限</t>
        </is>
      </c>
      <c r="D91" s="232" t="n"/>
      <c r="E91" s="232" t="n"/>
      <c r="F91" s="232" t="n"/>
      <c r="G91" s="232" t="n"/>
    </row>
    <row r="92" ht="30" customHeight="1">
      <c r="A92" s="13" t="inlineStr">
        <is>
          <t>毒調逾期天數</t>
        </is>
      </c>
      <c r="B92" s="242" t="n">
        <v>30</v>
      </c>
      <c r="C92" s="240" t="inlineStr">
        <is>
          <t>聲請強採書的逾期天數</t>
        </is>
      </c>
      <c r="D92" s="232" t="n"/>
      <c r="E92" s="232" t="n"/>
      <c r="F92" s="232" t="n"/>
      <c r="G92" s="232" t="n"/>
    </row>
    <row r="93" ht="30" customHeight="1">
      <c r="A93" s="13" t="inlineStr">
        <is>
          <t>歷史保留月數</t>
        </is>
      </c>
      <c r="B93" s="242" t="n">
        <v>132</v>
      </c>
      <c r="C93" s="240" t="inlineStr">
        <is>
          <t>Tbl歷史保留 132 月 ≈ 11 年</t>
        </is>
      </c>
      <c r="D93" s="232" t="n"/>
      <c r="E93" s="232" t="n"/>
      <c r="F93" s="232" t="n"/>
      <c r="G93" s="232" t="n"/>
    </row>
    <row r="94" ht="20" customHeight="1">
      <c r="B94" s="232" t="n"/>
      <c r="C94" s="232" t="n"/>
      <c r="D94" s="232" t="n"/>
      <c r="E94" s="232" t="n"/>
      <c r="F94" s="232" t="n"/>
      <c r="G94" s="232" t="n"/>
    </row>
    <row r="95" ht="38" customHeight="1">
      <c r="A95" s="65" t="inlineStr">
        <is>
          <t xml:space="preserve">  📂  D 區 ─ 案類分類（最多 67 列）    ｜ 納入全般統計 + 納入破獲率</t>
        </is>
      </c>
      <c r="B95" s="6" t="n"/>
      <c r="C95" s="6" t="n"/>
      <c r="D95" s="6" t="n"/>
      <c r="E95" s="6" t="n"/>
      <c r="F95" s="232" t="n"/>
      <c r="G95" s="232" t="n"/>
    </row>
    <row r="96" ht="30" customHeight="1">
      <c r="A96" s="18" t="inlineStr">
        <is>
          <t xml:space="preserve">   💡 新增案類：① 點下方任一空白列 → ② 填「代碼/名稱/分類」並設「納入全般」「納入破獲率」是/否。停用：改「納入全般=否」（保留歷史紀錄）</t>
        </is>
      </c>
      <c r="B96" s="7" t="n"/>
      <c r="C96" s="7" t="n"/>
      <c r="D96" s="7" t="n"/>
      <c r="E96" s="8" t="n"/>
      <c r="F96" s="232" t="n"/>
      <c r="G96" s="232" t="n"/>
    </row>
    <row r="97" ht="34" customHeight="1">
      <c r="A97" s="10" t="inlineStr">
        <is>
          <t>案類代碼</t>
        </is>
      </c>
      <c r="B97" s="235" t="inlineStr">
        <is>
          <t>案類名稱</t>
        </is>
      </c>
      <c r="C97" s="235" t="inlineStr">
        <is>
          <t>案類分類</t>
        </is>
      </c>
      <c r="D97" s="235" t="inlineStr">
        <is>
          <t>納入全般統計</t>
        </is>
      </c>
      <c r="E97" s="235" t="inlineStr">
        <is>
          <t>納入破獲率</t>
        </is>
      </c>
      <c r="F97" s="232" t="n"/>
      <c r="G97" s="232" t="n"/>
    </row>
    <row r="98" ht="30" customHeight="1">
      <c r="A98" s="19" t="inlineStr">
        <is>
          <t>01</t>
        </is>
      </c>
      <c r="B98" s="223" t="inlineStr">
        <is>
          <t>竊盜(普通)</t>
        </is>
      </c>
      <c r="C98" s="223" t="inlineStr">
        <is>
          <t>竊盜</t>
        </is>
      </c>
      <c r="D98" s="223" t="inlineStr">
        <is>
          <t>是</t>
        </is>
      </c>
      <c r="E98" s="223" t="inlineStr">
        <is>
          <t>是</t>
        </is>
      </c>
      <c r="F98" s="232" t="n"/>
      <c r="G98" s="232" t="n"/>
    </row>
    <row r="99" ht="30" customHeight="1">
      <c r="A99" s="19" t="inlineStr">
        <is>
          <t>02</t>
        </is>
      </c>
      <c r="B99" s="223" t="inlineStr">
        <is>
          <t>竊盜(住宅)</t>
        </is>
      </c>
      <c r="C99" s="223" t="inlineStr">
        <is>
          <t>竊盜</t>
        </is>
      </c>
      <c r="D99" s="223" t="inlineStr">
        <is>
          <t>是</t>
        </is>
      </c>
      <c r="E99" s="223" t="inlineStr">
        <is>
          <t>是</t>
        </is>
      </c>
      <c r="F99" s="232" t="n"/>
      <c r="G99" s="232" t="n"/>
    </row>
    <row r="100" ht="30" customHeight="1">
      <c r="A100" s="19" t="inlineStr">
        <is>
          <t>03</t>
        </is>
      </c>
      <c r="B100" s="223" t="inlineStr">
        <is>
          <t>竊盜(機車)</t>
        </is>
      </c>
      <c r="C100" s="223" t="inlineStr">
        <is>
          <t>竊盜</t>
        </is>
      </c>
      <c r="D100" s="223" t="inlineStr">
        <is>
          <t>是</t>
        </is>
      </c>
      <c r="E100" s="223" t="inlineStr">
        <is>
          <t>是</t>
        </is>
      </c>
      <c r="F100" s="232" t="n"/>
      <c r="G100" s="232" t="n"/>
    </row>
    <row r="101" ht="30" customHeight="1">
      <c r="A101" s="19" t="inlineStr">
        <is>
          <t>04</t>
        </is>
      </c>
      <c r="B101" s="223" t="inlineStr">
        <is>
          <t>竊盜(汽車)</t>
        </is>
      </c>
      <c r="C101" s="223" t="inlineStr">
        <is>
          <t>竊盜</t>
        </is>
      </c>
      <c r="D101" s="223" t="inlineStr">
        <is>
          <t>是</t>
        </is>
      </c>
      <c r="E101" s="223" t="inlineStr">
        <is>
          <t>是</t>
        </is>
      </c>
      <c r="F101" s="232" t="n"/>
      <c r="G101" s="232" t="n"/>
    </row>
    <row r="102" ht="30" customHeight="1">
      <c r="A102" s="19" t="inlineStr">
        <is>
          <t>05</t>
        </is>
      </c>
      <c r="B102" s="223" t="inlineStr">
        <is>
          <t>竊盜(重大)</t>
        </is>
      </c>
      <c r="C102" s="223" t="inlineStr">
        <is>
          <t>竊盜</t>
        </is>
      </c>
      <c r="D102" s="223" t="inlineStr">
        <is>
          <t>是</t>
        </is>
      </c>
      <c r="E102" s="223" t="inlineStr">
        <is>
          <t>是</t>
        </is>
      </c>
      <c r="F102" s="232" t="n"/>
      <c r="G102" s="232" t="n"/>
    </row>
    <row r="103" ht="30" customHeight="1">
      <c r="A103" s="19" t="inlineStr">
        <is>
          <t>06</t>
        </is>
      </c>
      <c r="B103" s="223" t="inlineStr">
        <is>
          <t>詐欺(普通)</t>
        </is>
      </c>
      <c r="C103" s="223" t="inlineStr">
        <is>
          <t>詐欺</t>
        </is>
      </c>
      <c r="D103" s="223" t="inlineStr">
        <is>
          <t>是</t>
        </is>
      </c>
      <c r="E103" s="223" t="inlineStr">
        <is>
          <t>是</t>
        </is>
      </c>
      <c r="F103" s="232" t="n"/>
      <c r="G103" s="232" t="n"/>
    </row>
    <row r="104" ht="30" customHeight="1">
      <c r="A104" s="19" t="inlineStr">
        <is>
          <t>07</t>
        </is>
      </c>
      <c r="B104" s="223" t="inlineStr">
        <is>
          <t>詐欺(加重)</t>
        </is>
      </c>
      <c r="C104" s="223" t="inlineStr">
        <is>
          <t>詐欺</t>
        </is>
      </c>
      <c r="D104" s="223" t="inlineStr">
        <is>
          <t>是</t>
        </is>
      </c>
      <c r="E104" s="223" t="inlineStr">
        <is>
          <t>是</t>
        </is>
      </c>
      <c r="F104" s="232" t="n"/>
      <c r="G104" s="232" t="n"/>
    </row>
    <row r="105" ht="30" customHeight="1">
      <c r="A105" s="19" t="inlineStr">
        <is>
          <t>08</t>
        </is>
      </c>
      <c r="B105" s="223" t="inlineStr">
        <is>
          <t>詐欺(車手)</t>
        </is>
      </c>
      <c r="C105" s="223" t="inlineStr">
        <is>
          <t>詐欺</t>
        </is>
      </c>
      <c r="D105" s="223" t="inlineStr">
        <is>
          <t>是</t>
        </is>
      </c>
      <c r="E105" s="223" t="inlineStr">
        <is>
          <t>是</t>
        </is>
      </c>
      <c r="F105" s="232" t="n"/>
      <c r="G105" s="232" t="n"/>
    </row>
    <row r="106" ht="30" customHeight="1">
      <c r="A106" s="19" t="inlineStr">
        <is>
          <t>09</t>
        </is>
      </c>
      <c r="B106" s="223" t="inlineStr">
        <is>
          <t>詐欺(機房)</t>
        </is>
      </c>
      <c r="C106" s="223" t="inlineStr">
        <is>
          <t>詐欺</t>
        </is>
      </c>
      <c r="D106" s="223" t="inlineStr">
        <is>
          <t>是</t>
        </is>
      </c>
      <c r="E106" s="223" t="inlineStr">
        <is>
          <t>是</t>
        </is>
      </c>
      <c r="F106" s="232" t="n"/>
      <c r="G106" s="232" t="n"/>
    </row>
    <row r="107" ht="30" customHeight="1">
      <c r="A107" s="19" t="inlineStr">
        <is>
          <t>10</t>
        </is>
      </c>
      <c r="B107" s="223" t="inlineStr">
        <is>
          <t>毒品(一級)</t>
        </is>
      </c>
      <c r="C107" s="223" t="inlineStr">
        <is>
          <t>毒品</t>
        </is>
      </c>
      <c r="D107" s="223" t="inlineStr">
        <is>
          <t>是</t>
        </is>
      </c>
      <c r="E107" s="223" t="inlineStr">
        <is>
          <t>是</t>
        </is>
      </c>
      <c r="F107" s="232" t="n"/>
      <c r="G107" s="232" t="n"/>
    </row>
    <row r="108" ht="30" customHeight="1">
      <c r="A108" s="19" t="inlineStr">
        <is>
          <t>11</t>
        </is>
      </c>
      <c r="B108" s="223" t="inlineStr">
        <is>
          <t>毒品(二級)</t>
        </is>
      </c>
      <c r="C108" s="223" t="inlineStr">
        <is>
          <t>毒品</t>
        </is>
      </c>
      <c r="D108" s="223" t="inlineStr">
        <is>
          <t>是</t>
        </is>
      </c>
      <c r="E108" s="223" t="inlineStr">
        <is>
          <t>是</t>
        </is>
      </c>
      <c r="F108" s="232" t="n"/>
      <c r="G108" s="232" t="n"/>
    </row>
    <row r="109" ht="30" customHeight="1">
      <c r="A109" s="19" t="inlineStr">
        <is>
          <t>12</t>
        </is>
      </c>
      <c r="B109" s="223" t="inlineStr">
        <is>
          <t>毒品(三級)</t>
        </is>
      </c>
      <c r="C109" s="223" t="inlineStr">
        <is>
          <t>毒品</t>
        </is>
      </c>
      <c r="D109" s="223" t="inlineStr">
        <is>
          <t>是</t>
        </is>
      </c>
      <c r="E109" s="223" t="inlineStr">
        <is>
          <t>是</t>
        </is>
      </c>
      <c r="F109" s="232" t="n"/>
      <c r="G109" s="232" t="n"/>
    </row>
    <row r="110" ht="30" customHeight="1">
      <c r="A110" s="19" t="inlineStr">
        <is>
          <t>13</t>
        </is>
      </c>
      <c r="B110" s="223" t="inlineStr">
        <is>
          <t>毒品(四級)</t>
        </is>
      </c>
      <c r="C110" s="223" t="inlineStr">
        <is>
          <t>毒品</t>
        </is>
      </c>
      <c r="D110" s="223" t="inlineStr">
        <is>
          <t>是</t>
        </is>
      </c>
      <c r="E110" s="223" t="inlineStr">
        <is>
          <t>是</t>
        </is>
      </c>
      <c r="F110" s="232" t="n"/>
      <c r="G110" s="232" t="n"/>
    </row>
    <row r="111" ht="30" customHeight="1">
      <c r="A111" s="19" t="inlineStr">
        <is>
          <t>14</t>
        </is>
      </c>
      <c r="B111" s="223" t="inlineStr">
        <is>
          <t>故意殺人</t>
        </is>
      </c>
      <c r="C111" s="223" t="inlineStr">
        <is>
          <t>暴力犯罪</t>
        </is>
      </c>
      <c r="D111" s="223" t="inlineStr">
        <is>
          <t>是</t>
        </is>
      </c>
      <c r="E111" s="223" t="inlineStr">
        <is>
          <t>是</t>
        </is>
      </c>
      <c r="F111" s="232" t="n"/>
      <c r="G111" s="232" t="n"/>
    </row>
    <row r="112" ht="30" customHeight="1">
      <c r="A112" s="19" t="inlineStr">
        <is>
          <t>15</t>
        </is>
      </c>
      <c r="B112" s="223" t="inlineStr">
        <is>
          <t>擄人勒贖</t>
        </is>
      </c>
      <c r="C112" s="223" t="inlineStr">
        <is>
          <t>暴力犯罪</t>
        </is>
      </c>
      <c r="D112" s="223" t="inlineStr">
        <is>
          <t>是</t>
        </is>
      </c>
      <c r="E112" s="223" t="inlineStr">
        <is>
          <t>是</t>
        </is>
      </c>
      <c r="F112" s="232" t="n"/>
      <c r="G112" s="232" t="n"/>
    </row>
    <row r="113" ht="30" customHeight="1">
      <c r="A113" s="19" t="inlineStr">
        <is>
          <t>16</t>
        </is>
      </c>
      <c r="B113" s="223" t="inlineStr">
        <is>
          <t>強盜</t>
        </is>
      </c>
      <c r="C113" s="223" t="inlineStr">
        <is>
          <t>暴力犯罪</t>
        </is>
      </c>
      <c r="D113" s="223" t="inlineStr">
        <is>
          <t>是</t>
        </is>
      </c>
      <c r="E113" s="223" t="inlineStr">
        <is>
          <t>是</t>
        </is>
      </c>
      <c r="F113" s="232" t="n"/>
      <c r="G113" s="232" t="n"/>
    </row>
    <row r="114" ht="30" customHeight="1">
      <c r="A114" s="19" t="inlineStr">
        <is>
          <t>17</t>
        </is>
      </c>
      <c r="B114" s="223" t="inlineStr">
        <is>
          <t>搶奪</t>
        </is>
      </c>
      <c r="C114" s="223" t="inlineStr">
        <is>
          <t>暴力犯罪</t>
        </is>
      </c>
      <c r="D114" s="223" t="inlineStr">
        <is>
          <t>是</t>
        </is>
      </c>
      <c r="E114" s="223" t="inlineStr">
        <is>
          <t>是</t>
        </is>
      </c>
      <c r="F114" s="232" t="n"/>
      <c r="G114" s="232" t="n"/>
    </row>
    <row r="115" ht="30" customHeight="1">
      <c r="A115" s="19" t="inlineStr">
        <is>
          <t>18</t>
        </is>
      </c>
      <c r="B115" s="223" t="inlineStr">
        <is>
          <t>重傷害</t>
        </is>
      </c>
      <c r="C115" s="223" t="inlineStr">
        <is>
          <t>暴力犯罪</t>
        </is>
      </c>
      <c r="D115" s="223" t="inlineStr">
        <is>
          <t>是</t>
        </is>
      </c>
      <c r="E115" s="223" t="inlineStr">
        <is>
          <t>是</t>
        </is>
      </c>
      <c r="F115" s="232" t="n"/>
      <c r="G115" s="232" t="n"/>
    </row>
    <row r="116" ht="30" customHeight="1">
      <c r="A116" s="19" t="inlineStr">
        <is>
          <t>19</t>
        </is>
      </c>
      <c r="B116" s="223" t="inlineStr">
        <is>
          <t>重大恐嚇取財</t>
        </is>
      </c>
      <c r="C116" s="223" t="inlineStr">
        <is>
          <t>暴力犯罪</t>
        </is>
      </c>
      <c r="D116" s="223" t="inlineStr">
        <is>
          <t>是</t>
        </is>
      </c>
      <c r="E116" s="223" t="inlineStr">
        <is>
          <t>是</t>
        </is>
      </c>
      <c r="F116" s="232" t="n"/>
      <c r="G116" s="232" t="n"/>
    </row>
    <row r="117" ht="30" customHeight="1">
      <c r="A117" s="19" t="inlineStr">
        <is>
          <t>20</t>
        </is>
      </c>
      <c r="B117" s="223" t="inlineStr">
        <is>
          <t>強制性交</t>
        </is>
      </c>
      <c r="C117" s="223" t="inlineStr">
        <is>
          <t>暴力犯罪</t>
        </is>
      </c>
      <c r="D117" s="223" t="inlineStr">
        <is>
          <t>是</t>
        </is>
      </c>
      <c r="E117" s="223" t="inlineStr">
        <is>
          <t>是</t>
        </is>
      </c>
      <c r="F117" s="232" t="n"/>
      <c r="G117" s="232" t="n"/>
    </row>
    <row r="118" ht="30" customHeight="1">
      <c r="A118" s="19" t="inlineStr">
        <is>
          <t>21</t>
        </is>
      </c>
      <c r="B118" s="223" t="inlineStr">
        <is>
          <t>一般傷害(不含駕駛過失)</t>
        </is>
      </c>
      <c r="C118" s="223" t="inlineStr">
        <is>
          <t>傷害</t>
        </is>
      </c>
      <c r="D118" s="223" t="inlineStr">
        <is>
          <t>是</t>
        </is>
      </c>
      <c r="E118" s="223" t="inlineStr">
        <is>
          <t>是</t>
        </is>
      </c>
      <c r="F118" s="232" t="n"/>
      <c r="G118" s="232" t="n"/>
    </row>
    <row r="119" ht="30" customHeight="1">
      <c r="A119" s="19" t="inlineStr">
        <is>
          <t>22</t>
        </is>
      </c>
      <c r="B119" s="223" t="inlineStr">
        <is>
          <t>過失傷害</t>
        </is>
      </c>
      <c r="C119" s="223" t="inlineStr">
        <is>
          <t>傷害</t>
        </is>
      </c>
      <c r="D119" s="223" t="inlineStr">
        <is>
          <t>是</t>
        </is>
      </c>
      <c r="E119" s="223" t="inlineStr">
        <is>
          <t>是</t>
        </is>
      </c>
      <c r="F119" s="232" t="n"/>
      <c r="G119" s="232" t="n"/>
    </row>
    <row r="120" ht="30" customHeight="1">
      <c r="A120" s="19" t="inlineStr">
        <is>
          <t>23</t>
        </is>
      </c>
      <c r="B120" s="223" t="inlineStr">
        <is>
          <t>駕駛過失(含致傷重傷死亡)</t>
        </is>
      </c>
      <c r="C120" s="223" t="inlineStr">
        <is>
          <t>駕駛過失</t>
        </is>
      </c>
      <c r="D120" s="223" t="inlineStr">
        <is>
          <t>是</t>
        </is>
      </c>
      <c r="E120" s="223" t="inlineStr">
        <is>
          <t>是</t>
        </is>
      </c>
      <c r="F120" s="232" t="n"/>
      <c r="G120" s="232" t="n"/>
    </row>
    <row r="121" ht="30" customHeight="1">
      <c r="A121" s="19" t="inlineStr">
        <is>
          <t>24</t>
        </is>
      </c>
      <c r="B121" s="223" t="inlineStr">
        <is>
          <t>肇事逃逸</t>
        </is>
      </c>
      <c r="C121" s="223" t="inlineStr">
        <is>
          <t>駕駛過失</t>
        </is>
      </c>
      <c r="D121" s="223" t="inlineStr">
        <is>
          <t>是</t>
        </is>
      </c>
      <c r="E121" s="223" t="inlineStr">
        <is>
          <t>是</t>
        </is>
      </c>
      <c r="F121" s="232" t="n"/>
      <c r="G121" s="232" t="n"/>
    </row>
    <row r="122" ht="30" customHeight="1">
      <c r="A122" s="19" t="inlineStr">
        <is>
          <t>25</t>
        </is>
      </c>
      <c r="B122" s="223" t="inlineStr">
        <is>
          <t>公共危險(危險駕駛)</t>
        </is>
      </c>
      <c r="C122" s="223" t="inlineStr">
        <is>
          <t>公共危險</t>
        </is>
      </c>
      <c r="D122" s="223" t="inlineStr">
        <is>
          <t>是</t>
        </is>
      </c>
      <c r="E122" s="223" t="inlineStr">
        <is>
          <t>是</t>
        </is>
      </c>
      <c r="F122" s="232" t="n"/>
      <c r="G122" s="232" t="n"/>
    </row>
    <row r="123" ht="30" customHeight="1">
      <c r="A123" s="19" t="inlineStr">
        <is>
          <t>26</t>
        </is>
      </c>
      <c r="B123" s="223" t="inlineStr">
        <is>
          <t>公共危險(酒駕)</t>
        </is>
      </c>
      <c r="C123" s="223" t="inlineStr">
        <is>
          <t>公共危險</t>
        </is>
      </c>
      <c r="D123" s="223" t="inlineStr">
        <is>
          <t>是</t>
        </is>
      </c>
      <c r="E123" s="223" t="inlineStr">
        <is>
          <t>是</t>
        </is>
      </c>
      <c r="F123" s="232" t="n"/>
      <c r="G123" s="232" t="n"/>
    </row>
    <row r="124" ht="30" customHeight="1">
      <c r="A124" s="19" t="inlineStr">
        <is>
          <t>27</t>
        </is>
      </c>
      <c r="B124" s="223" t="inlineStr">
        <is>
          <t>公共危險(毒駕)</t>
        </is>
      </c>
      <c r="C124" s="223" t="inlineStr">
        <is>
          <t>公共危險</t>
        </is>
      </c>
      <c r="D124" s="223" t="inlineStr">
        <is>
          <t>是</t>
        </is>
      </c>
      <c r="E124" s="223" t="inlineStr">
        <is>
          <t>是</t>
        </is>
      </c>
      <c r="F124" s="232" t="n"/>
      <c r="G124" s="232" t="n"/>
    </row>
    <row r="125" ht="30" customHeight="1">
      <c r="A125" s="19" t="inlineStr">
        <is>
          <t>28</t>
        </is>
      </c>
      <c r="B125" s="223" t="inlineStr">
        <is>
          <t>妨害秘密(偷拍)</t>
        </is>
      </c>
      <c r="C125" s="223" t="inlineStr">
        <is>
          <t>妨害秘密</t>
        </is>
      </c>
      <c r="D125" s="223" t="inlineStr">
        <is>
          <t>是</t>
        </is>
      </c>
      <c r="E125" s="223" t="inlineStr">
        <is>
          <t>是</t>
        </is>
      </c>
      <c r="F125" s="232" t="n"/>
      <c r="G125" s="232" t="n"/>
    </row>
    <row r="126" ht="30" customHeight="1">
      <c r="A126" s="19" t="inlineStr">
        <is>
          <t>29</t>
        </is>
      </c>
      <c r="B126" s="223" t="inlineStr">
        <is>
          <t>妨害性隱私及不實性影像</t>
        </is>
      </c>
      <c r="C126" s="223" t="inlineStr">
        <is>
          <t>妨害秘密</t>
        </is>
      </c>
      <c r="D126" s="223" t="inlineStr">
        <is>
          <t>是</t>
        </is>
      </c>
      <c r="E126" s="223" t="inlineStr">
        <is>
          <t>是</t>
        </is>
      </c>
      <c r="F126" s="232" t="n"/>
      <c r="G126" s="232" t="n"/>
    </row>
    <row r="127" ht="30" customHeight="1">
      <c r="A127" s="19" t="inlineStr">
        <is>
          <t>30</t>
        </is>
      </c>
      <c r="B127" s="223" t="inlineStr">
        <is>
          <t>性侵害犯罪防治法</t>
        </is>
      </c>
      <c r="C127" s="223" t="inlineStr">
        <is>
          <t>性犯罪特別法</t>
        </is>
      </c>
      <c r="D127" s="223" t="inlineStr">
        <is>
          <t>是</t>
        </is>
      </c>
      <c r="E127" s="223" t="inlineStr">
        <is>
          <t>是</t>
        </is>
      </c>
      <c r="F127" s="232" t="n"/>
      <c r="G127" s="232" t="n"/>
    </row>
    <row r="128" ht="30" customHeight="1">
      <c r="A128" s="19" t="inlineStr">
        <is>
          <t>31</t>
        </is>
      </c>
      <c r="B128" s="223" t="inlineStr">
        <is>
          <t>性騷擾防治法</t>
        </is>
      </c>
      <c r="C128" s="223" t="inlineStr">
        <is>
          <t>性犯罪特別法</t>
        </is>
      </c>
      <c r="D128" s="223" t="inlineStr">
        <is>
          <t>是</t>
        </is>
      </c>
      <c r="E128" s="223" t="inlineStr">
        <is>
          <t>是</t>
        </is>
      </c>
      <c r="F128" s="232" t="n"/>
      <c r="G128" s="232" t="n"/>
    </row>
    <row r="129" ht="30" customHeight="1">
      <c r="A129" s="19" t="inlineStr">
        <is>
          <t>32</t>
        </is>
      </c>
      <c r="B129" s="223" t="inlineStr">
        <is>
          <t>跟蹤騷擾防治法</t>
        </is>
      </c>
      <c r="C129" s="223" t="inlineStr">
        <is>
          <t>性犯罪特別法</t>
        </is>
      </c>
      <c r="D129" s="223" t="inlineStr">
        <is>
          <t>是</t>
        </is>
      </c>
      <c r="E129" s="223" t="inlineStr">
        <is>
          <t>是</t>
        </is>
      </c>
      <c r="F129" s="232" t="n"/>
      <c r="G129" s="232" t="n"/>
    </row>
    <row r="130" ht="30" customHeight="1">
      <c r="A130" s="19" t="inlineStr">
        <is>
          <t>33</t>
        </is>
      </c>
      <c r="B130" s="223" t="inlineStr">
        <is>
          <t>妨害自由</t>
        </is>
      </c>
      <c r="C130" s="223" t="inlineStr">
        <is>
          <t>妨害自由</t>
        </is>
      </c>
      <c r="D130" s="223" t="inlineStr">
        <is>
          <t>是</t>
        </is>
      </c>
      <c r="E130" s="223" t="inlineStr">
        <is>
          <t>是</t>
        </is>
      </c>
      <c r="F130" s="232" t="n"/>
      <c r="G130" s="232" t="n"/>
    </row>
    <row r="131" ht="30" customHeight="1">
      <c r="A131" s="19" t="inlineStr">
        <is>
          <t>34</t>
        </is>
      </c>
      <c r="B131" s="223" t="inlineStr">
        <is>
          <t>強制罪</t>
        </is>
      </c>
      <c r="C131" s="223" t="inlineStr">
        <is>
          <t>妨害自由</t>
        </is>
      </c>
      <c r="D131" s="223" t="inlineStr">
        <is>
          <t>是</t>
        </is>
      </c>
      <c r="E131" s="223" t="inlineStr">
        <is>
          <t>是</t>
        </is>
      </c>
      <c r="F131" s="232" t="n"/>
      <c r="G131" s="232" t="n"/>
    </row>
    <row r="132" ht="30" customHeight="1">
      <c r="A132" s="19" t="inlineStr">
        <is>
          <t>35</t>
        </is>
      </c>
      <c r="B132" s="223" t="inlineStr">
        <is>
          <t>恐嚇取財(一般)</t>
        </is>
      </c>
      <c r="C132" s="223" t="inlineStr">
        <is>
          <t>妨害自由</t>
        </is>
      </c>
      <c r="D132" s="223" t="inlineStr">
        <is>
          <t>是</t>
        </is>
      </c>
      <c r="E132" s="223" t="inlineStr">
        <is>
          <t>是</t>
        </is>
      </c>
      <c r="F132" s="232" t="n"/>
      <c r="G132" s="232" t="n"/>
    </row>
    <row r="133" ht="30" customHeight="1">
      <c r="A133" s="19" t="inlineStr">
        <is>
          <t>36</t>
        </is>
      </c>
      <c r="B133" s="223" t="inlineStr">
        <is>
          <t>妨害秩序</t>
        </is>
      </c>
      <c r="C133" s="223" t="inlineStr">
        <is>
          <t>妨害秩序</t>
        </is>
      </c>
      <c r="D133" s="223" t="inlineStr">
        <is>
          <t>是</t>
        </is>
      </c>
      <c r="E133" s="223" t="inlineStr">
        <is>
          <t>是</t>
        </is>
      </c>
      <c r="F133" s="232" t="n"/>
      <c r="G133" s="232" t="n"/>
    </row>
    <row r="134" ht="30" customHeight="1">
      <c r="A134" s="19" t="inlineStr">
        <is>
          <t>37</t>
        </is>
      </c>
      <c r="B134" s="223" t="inlineStr">
        <is>
          <t>聚眾鬥毆</t>
        </is>
      </c>
      <c r="C134" s="223" t="inlineStr">
        <is>
          <t>妨害秩序</t>
        </is>
      </c>
      <c r="D134" s="223" t="inlineStr">
        <is>
          <t>是</t>
        </is>
      </c>
      <c r="E134" s="223" t="inlineStr">
        <is>
          <t>是</t>
        </is>
      </c>
      <c r="F134" s="232" t="n"/>
      <c r="G134" s="232" t="n"/>
    </row>
    <row r="135" ht="30" customHeight="1">
      <c r="A135" s="19" t="inlineStr">
        <is>
          <t>38</t>
        </is>
      </c>
      <c r="B135" s="223" t="inlineStr">
        <is>
          <t>妨害公務</t>
        </is>
      </c>
      <c r="C135" s="223" t="inlineStr">
        <is>
          <t>妨害秩序</t>
        </is>
      </c>
      <c r="D135" s="223" t="inlineStr">
        <is>
          <t>是</t>
        </is>
      </c>
      <c r="E135" s="223" t="inlineStr">
        <is>
          <t>是</t>
        </is>
      </c>
      <c r="F135" s="232" t="n"/>
      <c r="G135" s="232" t="n"/>
    </row>
    <row r="136" ht="30" customHeight="1">
      <c r="A136" s="19" t="inlineStr">
        <is>
          <t>39</t>
        </is>
      </c>
      <c r="B136" s="223" t="inlineStr">
        <is>
          <t>妨害名譽(公然侮辱、誹謗)</t>
        </is>
      </c>
      <c r="C136" s="223" t="inlineStr">
        <is>
          <t>妨害名譽</t>
        </is>
      </c>
      <c r="D136" s="223" t="inlineStr">
        <is>
          <t>是</t>
        </is>
      </c>
      <c r="E136" s="223" t="inlineStr">
        <is>
          <t>是</t>
        </is>
      </c>
      <c r="F136" s="232" t="n"/>
      <c r="G136" s="232" t="n"/>
    </row>
    <row r="137" ht="30" customHeight="1">
      <c r="A137" s="19" t="inlineStr">
        <is>
          <t>40</t>
        </is>
      </c>
      <c r="B137" s="223" t="inlineStr">
        <is>
          <t>妨害婚姻及家庭</t>
        </is>
      </c>
      <c r="C137" s="223" t="inlineStr">
        <is>
          <t>妨害婚姻家庭</t>
        </is>
      </c>
      <c r="D137" s="223" t="inlineStr">
        <is>
          <t>是</t>
        </is>
      </c>
      <c r="E137" s="223" t="inlineStr">
        <is>
          <t>是</t>
        </is>
      </c>
      <c r="F137" s="232" t="n"/>
      <c r="G137" s="232" t="n"/>
    </row>
    <row r="138" ht="30" customHeight="1">
      <c r="A138" s="19" t="inlineStr">
        <is>
          <t>41</t>
        </is>
      </c>
      <c r="B138" s="223" t="inlineStr">
        <is>
          <t>妨害風化</t>
        </is>
      </c>
      <c r="C138" s="223" t="inlineStr">
        <is>
          <t>妨害風化</t>
        </is>
      </c>
      <c r="D138" s="223" t="inlineStr">
        <is>
          <t>是</t>
        </is>
      </c>
      <c r="E138" s="223" t="inlineStr">
        <is>
          <t>是</t>
        </is>
      </c>
      <c r="F138" s="232" t="n"/>
      <c r="G138" s="232" t="n"/>
    </row>
    <row r="139" ht="30" customHeight="1">
      <c r="A139" s="19" t="inlineStr">
        <is>
          <t>42</t>
        </is>
      </c>
      <c r="B139" s="223" t="inlineStr">
        <is>
          <t>遺棄</t>
        </is>
      </c>
      <c r="C139" s="223" t="inlineStr">
        <is>
          <t>妨害自由</t>
        </is>
      </c>
      <c r="D139" s="223" t="inlineStr">
        <is>
          <t>是</t>
        </is>
      </c>
      <c r="E139" s="223" t="inlineStr">
        <is>
          <t>是</t>
        </is>
      </c>
      <c r="F139" s="232" t="n"/>
      <c r="G139" s="232" t="n"/>
    </row>
    <row r="140" ht="30" customHeight="1">
      <c r="A140" s="19" t="inlineStr">
        <is>
          <t>43</t>
        </is>
      </c>
      <c r="B140" s="223" t="inlineStr">
        <is>
          <t>誣告</t>
        </is>
      </c>
      <c r="C140" s="223" t="inlineStr">
        <is>
          <t>妨害秩序</t>
        </is>
      </c>
      <c r="D140" s="223" t="inlineStr">
        <is>
          <t>是</t>
        </is>
      </c>
      <c r="E140" s="223" t="inlineStr">
        <is>
          <t>是</t>
        </is>
      </c>
      <c r="F140" s="232" t="n"/>
      <c r="G140" s="232" t="n"/>
    </row>
    <row r="141" ht="30" customHeight="1">
      <c r="A141" s="19" t="inlineStr">
        <is>
          <t>44</t>
        </is>
      </c>
      <c r="B141" s="223" t="inlineStr">
        <is>
          <t>偽造文書</t>
        </is>
      </c>
      <c r="C141" s="223" t="inlineStr">
        <is>
          <t>偽造</t>
        </is>
      </c>
      <c r="D141" s="223" t="inlineStr">
        <is>
          <t>是</t>
        </is>
      </c>
      <c r="E141" s="223" t="inlineStr">
        <is>
          <t>是</t>
        </is>
      </c>
      <c r="F141" s="232" t="n"/>
      <c r="G141" s="232" t="n"/>
    </row>
    <row r="142" ht="30" customHeight="1">
      <c r="A142" s="19" t="inlineStr">
        <is>
          <t>45</t>
        </is>
      </c>
      <c r="B142" s="223" t="inlineStr">
        <is>
          <t>偽造貨幣</t>
        </is>
      </c>
      <c r="C142" s="223" t="inlineStr">
        <is>
          <t>偽造</t>
        </is>
      </c>
      <c r="D142" s="223" t="inlineStr">
        <is>
          <t>是</t>
        </is>
      </c>
      <c r="E142" s="223" t="inlineStr">
        <is>
          <t>是</t>
        </is>
      </c>
      <c r="F142" s="232" t="n"/>
      <c r="G142" s="232" t="n"/>
    </row>
    <row r="143" ht="30" customHeight="1">
      <c r="A143" s="19" t="inlineStr">
        <is>
          <t>46</t>
        </is>
      </c>
      <c r="B143" s="223" t="inlineStr">
        <is>
          <t>偽造有價證券</t>
        </is>
      </c>
      <c r="C143" s="223" t="inlineStr">
        <is>
          <t>偽造</t>
        </is>
      </c>
      <c r="D143" s="223" t="inlineStr">
        <is>
          <t>是</t>
        </is>
      </c>
      <c r="E143" s="223" t="inlineStr">
        <is>
          <t>是</t>
        </is>
      </c>
      <c r="F143" s="232" t="n"/>
      <c r="G143" s="232" t="n"/>
    </row>
    <row r="144" ht="30" customHeight="1">
      <c r="A144" s="19" t="inlineStr">
        <is>
          <t>47</t>
        </is>
      </c>
      <c r="B144" s="223" t="inlineStr">
        <is>
          <t>侵占</t>
        </is>
      </c>
      <c r="C144" s="223" t="inlineStr">
        <is>
          <t>侵占</t>
        </is>
      </c>
      <c r="D144" s="223" t="inlineStr">
        <is>
          <t>是</t>
        </is>
      </c>
      <c r="E144" s="223" t="inlineStr">
        <is>
          <t>是</t>
        </is>
      </c>
      <c r="F144" s="232" t="n"/>
      <c r="G144" s="232" t="n"/>
    </row>
    <row r="145" ht="30" customHeight="1">
      <c r="A145" s="19" t="inlineStr">
        <is>
          <t>48</t>
        </is>
      </c>
      <c r="B145" s="223" t="inlineStr">
        <is>
          <t>竊佔</t>
        </is>
      </c>
      <c r="C145" s="223" t="inlineStr">
        <is>
          <t>侵占</t>
        </is>
      </c>
      <c r="D145" s="223" t="inlineStr">
        <is>
          <t>是</t>
        </is>
      </c>
      <c r="E145" s="223" t="inlineStr">
        <is>
          <t>是</t>
        </is>
      </c>
      <c r="F145" s="232" t="n"/>
      <c r="G145" s="232" t="n"/>
    </row>
    <row r="146" ht="30" customHeight="1">
      <c r="A146" s="19" t="inlineStr">
        <is>
          <t>49</t>
        </is>
      </c>
      <c r="B146" s="223" t="inlineStr">
        <is>
          <t>背信</t>
        </is>
      </c>
      <c r="C146" s="223" t="inlineStr">
        <is>
          <t>背信重利</t>
        </is>
      </c>
      <c r="D146" s="223" t="inlineStr">
        <is>
          <t>是</t>
        </is>
      </c>
      <c r="E146" s="223" t="inlineStr">
        <is>
          <t>是</t>
        </is>
      </c>
      <c r="F146" s="232" t="n"/>
      <c r="G146" s="232" t="n"/>
    </row>
    <row r="147" ht="30" customHeight="1">
      <c r="A147" s="19" t="inlineStr">
        <is>
          <t>50</t>
        </is>
      </c>
      <c r="B147" s="223" t="inlineStr">
        <is>
          <t>重利</t>
        </is>
      </c>
      <c r="C147" s="223" t="inlineStr">
        <is>
          <t>背信重利</t>
        </is>
      </c>
      <c r="D147" s="223" t="inlineStr">
        <is>
          <t>是</t>
        </is>
      </c>
      <c r="E147" s="223" t="inlineStr">
        <is>
          <t>是</t>
        </is>
      </c>
      <c r="F147" s="232" t="n"/>
      <c r="G147" s="232" t="n"/>
    </row>
    <row r="148" ht="30" customHeight="1">
      <c r="A148" s="19" t="inlineStr">
        <is>
          <t>51</t>
        </is>
      </c>
      <c r="B148" s="223" t="inlineStr">
        <is>
          <t>著作權法</t>
        </is>
      </c>
      <c r="C148" s="223" t="inlineStr">
        <is>
          <t>智慧財產</t>
        </is>
      </c>
      <c r="D148" s="223" t="inlineStr">
        <is>
          <t>是</t>
        </is>
      </c>
      <c r="E148" s="223" t="inlineStr">
        <is>
          <t>是</t>
        </is>
      </c>
      <c r="F148" s="232" t="n"/>
      <c r="G148" s="232" t="n"/>
    </row>
    <row r="149" ht="30" customHeight="1">
      <c r="A149" s="19" t="inlineStr">
        <is>
          <t>52</t>
        </is>
      </c>
      <c r="B149" s="223" t="inlineStr">
        <is>
          <t>商標法</t>
        </is>
      </c>
      <c r="C149" s="223" t="inlineStr">
        <is>
          <t>智慧財產</t>
        </is>
      </c>
      <c r="D149" s="223" t="inlineStr">
        <is>
          <t>是</t>
        </is>
      </c>
      <c r="E149" s="223" t="inlineStr">
        <is>
          <t>是</t>
        </is>
      </c>
      <c r="F149" s="232" t="n"/>
      <c r="G149" s="232" t="n"/>
    </row>
    <row r="150" ht="30" customHeight="1">
      <c r="A150" s="19" t="inlineStr">
        <is>
          <t>53</t>
        </is>
      </c>
      <c r="B150" s="223" t="inlineStr">
        <is>
          <t>毒品危害防制條例</t>
        </is>
      </c>
      <c r="C150" s="223" t="inlineStr">
        <is>
          <t>毒品</t>
        </is>
      </c>
      <c r="D150" s="223" t="inlineStr">
        <is>
          <t>是</t>
        </is>
      </c>
      <c r="E150" s="223" t="inlineStr">
        <is>
          <t>是</t>
        </is>
      </c>
      <c r="F150" s="232" t="n"/>
      <c r="G150" s="232" t="n"/>
    </row>
    <row r="151" ht="30" customHeight="1">
      <c r="A151" s="19" t="inlineStr">
        <is>
          <t>54</t>
        </is>
      </c>
      <c r="B151" s="223" t="inlineStr">
        <is>
          <t>槍砲彈藥刀械管制條例</t>
        </is>
      </c>
      <c r="C151" s="223" t="inlineStr">
        <is>
          <t>槍砲</t>
        </is>
      </c>
      <c r="D151" s="223" t="inlineStr">
        <is>
          <t>是</t>
        </is>
      </c>
      <c r="E151" s="223" t="inlineStr">
        <is>
          <t>是</t>
        </is>
      </c>
      <c r="F151" s="232" t="n"/>
      <c r="G151" s="232" t="n"/>
    </row>
    <row r="152" ht="30" customHeight="1">
      <c r="A152" s="19" t="inlineStr">
        <is>
          <t>55</t>
        </is>
      </c>
      <c r="B152" s="223" t="inlineStr">
        <is>
          <t>違反洗錢防制法</t>
        </is>
      </c>
      <c r="C152" s="223" t="inlineStr">
        <is>
          <t>洗錢</t>
        </is>
      </c>
      <c r="D152" s="223" t="inlineStr">
        <is>
          <t>是</t>
        </is>
      </c>
      <c r="E152" s="223" t="inlineStr">
        <is>
          <t>是</t>
        </is>
      </c>
      <c r="F152" s="232" t="n"/>
      <c r="G152" s="232" t="n"/>
    </row>
    <row r="153" ht="30" customHeight="1">
      <c r="A153" s="19" t="inlineStr">
        <is>
          <t>56</t>
        </is>
      </c>
      <c r="B153" s="223" t="inlineStr">
        <is>
          <t>違反兒少性剝削</t>
        </is>
      </c>
      <c r="C153" s="223" t="inlineStr">
        <is>
          <t>兒少性剝削</t>
        </is>
      </c>
      <c r="D153" s="223" t="inlineStr">
        <is>
          <t>是</t>
        </is>
      </c>
      <c r="E153" s="223" t="inlineStr">
        <is>
          <t>是</t>
        </is>
      </c>
      <c r="F153" s="232" t="n"/>
      <c r="G153" s="232" t="n"/>
    </row>
    <row r="154" ht="30" customHeight="1">
      <c r="A154" s="19" t="inlineStr">
        <is>
          <t>57</t>
        </is>
      </c>
      <c r="B154" s="223" t="inlineStr">
        <is>
          <t>違反保護令罪</t>
        </is>
      </c>
      <c r="C154" s="223" t="inlineStr">
        <is>
          <t>家暴</t>
        </is>
      </c>
      <c r="D154" s="223" t="inlineStr">
        <is>
          <t>是</t>
        </is>
      </c>
      <c r="E154" s="223" t="inlineStr">
        <is>
          <t>是</t>
        </is>
      </c>
      <c r="F154" s="232" t="n"/>
      <c r="G154" s="232" t="n"/>
    </row>
    <row r="155" ht="30" customHeight="1">
      <c r="A155" s="19" t="inlineStr">
        <is>
          <t>58</t>
        </is>
      </c>
      <c r="B155" s="223" t="inlineStr">
        <is>
          <t>妨害電腦使用</t>
        </is>
      </c>
      <c r="C155" s="223" t="inlineStr">
        <is>
          <t>妨害電腦使用</t>
        </is>
      </c>
      <c r="D155" s="223" t="inlineStr">
        <is>
          <t>是</t>
        </is>
      </c>
      <c r="E155" s="223" t="inlineStr">
        <is>
          <t>是</t>
        </is>
      </c>
      <c r="F155" s="232" t="n"/>
      <c r="G155" s="232" t="n"/>
    </row>
    <row r="156" ht="30" customHeight="1">
      <c r="A156" s="19" t="inlineStr">
        <is>
          <t>59</t>
        </is>
      </c>
      <c r="B156" s="223" t="inlineStr">
        <is>
          <t>賭博</t>
        </is>
      </c>
      <c r="C156" s="223" t="inlineStr">
        <is>
          <t>賭博</t>
        </is>
      </c>
      <c r="D156" s="223" t="inlineStr">
        <is>
          <t>是</t>
        </is>
      </c>
      <c r="E156" s="223" t="inlineStr">
        <is>
          <t>是</t>
        </is>
      </c>
      <c r="F156" s="232" t="n"/>
      <c r="G156" s="232" t="n"/>
    </row>
    <row r="157" ht="30" customHeight="1">
      <c r="A157" s="19" t="inlineStr">
        <is>
          <t>60</t>
        </is>
      </c>
      <c r="B157" s="223" t="inlineStr">
        <is>
          <t>毀棄損壞</t>
        </is>
      </c>
      <c r="C157" s="223" t="inlineStr">
        <is>
          <t>毀棄損壞</t>
        </is>
      </c>
      <c r="D157" s="223" t="inlineStr">
        <is>
          <t>是</t>
        </is>
      </c>
      <c r="E157" s="223" t="inlineStr">
        <is>
          <t>是</t>
        </is>
      </c>
      <c r="F157" s="232" t="n"/>
      <c r="G157" s="232" t="n"/>
    </row>
    <row r="158" ht="30" customHeight="1">
      <c r="A158" s="19" t="inlineStr">
        <is>
          <t>61</t>
        </is>
      </c>
      <c r="B158" s="223" t="inlineStr">
        <is>
          <t>其他(自填)</t>
        </is>
      </c>
      <c r="C158" s="223" t="inlineStr">
        <is>
          <t>其他</t>
        </is>
      </c>
      <c r="D158" s="223" t="inlineStr">
        <is>
          <t>是</t>
        </is>
      </c>
      <c r="E158" s="223" t="inlineStr">
        <is>
          <t>是</t>
        </is>
      </c>
      <c r="F158" s="232" t="n"/>
      <c r="G158" s="232" t="n"/>
    </row>
    <row r="159" ht="30" customHeight="1">
      <c r="A159" s="20" t="n"/>
      <c r="B159" s="227" t="n"/>
      <c r="C159" s="227" t="n"/>
      <c r="D159" s="227" t="n"/>
      <c r="E159" s="227" t="n"/>
      <c r="F159" s="232" t="n"/>
      <c r="G159" s="232" t="n"/>
    </row>
    <row r="160" ht="30" customHeight="1">
      <c r="A160" s="20" t="n"/>
      <c r="B160" s="227" t="n"/>
      <c r="C160" s="227" t="n"/>
      <c r="D160" s="227" t="n"/>
      <c r="E160" s="227" t="n"/>
      <c r="F160" s="232" t="n"/>
      <c r="G160" s="232" t="n"/>
    </row>
    <row r="161" ht="30" customHeight="1">
      <c r="A161" s="20" t="n"/>
      <c r="B161" s="227" t="n"/>
      <c r="C161" s="227" t="n"/>
      <c r="D161" s="227" t="n"/>
      <c r="E161" s="227" t="n"/>
      <c r="F161" s="232" t="n"/>
      <c r="G161" s="232" t="n"/>
    </row>
    <row r="162" ht="30" customHeight="1">
      <c r="A162" s="20" t="n"/>
      <c r="B162" s="227" t="n"/>
      <c r="C162" s="227" t="n"/>
      <c r="D162" s="227" t="n"/>
      <c r="E162" s="227" t="n"/>
      <c r="F162" s="232" t="n"/>
      <c r="G162" s="232" t="n"/>
    </row>
    <row r="163" ht="30" customHeight="1">
      <c r="A163" s="20" t="n"/>
      <c r="B163" s="227" t="n"/>
      <c r="C163" s="227" t="n"/>
      <c r="D163" s="227" t="n"/>
      <c r="E163" s="227" t="n"/>
      <c r="F163" s="232" t="n"/>
      <c r="G163" s="232" t="n"/>
    </row>
    <row r="164" ht="20" customHeight="1">
      <c r="B164" s="232" t="n"/>
      <c r="C164" s="232" t="n"/>
      <c r="D164" s="232" t="n"/>
      <c r="E164" s="232" t="n"/>
      <c r="F164" s="232" t="n"/>
      <c r="G164" s="232" t="n"/>
    </row>
    <row r="165" ht="38" customHeight="1">
      <c r="A165" s="65" t="inlineStr">
        <is>
          <t xml:space="preserve">  🚦  E 區 ─ 違規項目（最多 16 項）    ｜ 目標值與警示閾值</t>
        </is>
      </c>
      <c r="B165" s="6" t="n"/>
      <c r="C165" s="6" t="n"/>
      <c r="D165" s="232" t="n"/>
      <c r="E165" s="232" t="n"/>
      <c r="F165" s="232" t="n"/>
      <c r="G165" s="232" t="n"/>
    </row>
    <row r="166" ht="30" customHeight="1">
      <c r="A166" s="18" t="inlineStr">
        <is>
          <t xml:space="preserve">   💡 新增違規項目：① 點下方任一空白列 → ② 填「項目/目標/警示閾值」。頁 9 達成率自動算 = 取締數/目標。停用：目標=0 即不列入考核</t>
        </is>
      </c>
      <c r="B166" s="7" t="n"/>
      <c r="C166" s="8" t="n"/>
      <c r="D166" s="232" t="n"/>
      <c r="E166" s="232" t="n"/>
      <c r="F166" s="232" t="n"/>
      <c r="G166" s="232" t="n"/>
    </row>
    <row r="167" ht="34" customHeight="1">
      <c r="A167" s="10" t="inlineStr">
        <is>
          <t>違規項目</t>
        </is>
      </c>
      <c r="B167" s="235" t="inlineStr">
        <is>
          <t>目標</t>
        </is>
      </c>
      <c r="C167" s="235" t="inlineStr">
        <is>
          <t>達成率警示閾值</t>
        </is>
      </c>
      <c r="D167" s="232" t="n"/>
      <c r="E167" s="232" t="n"/>
      <c r="F167" s="232" t="n"/>
      <c r="G167" s="232" t="n"/>
    </row>
    <row r="168" ht="30" customHeight="1">
      <c r="A168" s="19" t="inlineStr">
        <is>
          <t>車輛不停讓行人</t>
        </is>
      </c>
      <c r="B168" s="225" t="n">
        <v>18</v>
      </c>
      <c r="C168" s="223" t="inlineStr">
        <is>
          <t>70%</t>
        </is>
      </c>
      <c r="D168" s="232" t="n"/>
      <c r="E168" s="232" t="n"/>
      <c r="F168" s="232" t="n"/>
      <c r="G168" s="232" t="n"/>
    </row>
    <row r="169" ht="30" customHeight="1">
      <c r="A169" s="19" t="inlineStr">
        <is>
          <t>行人違規</t>
        </is>
      </c>
      <c r="B169" s="225" t="n">
        <v>31</v>
      </c>
      <c r="C169" s="223" t="inlineStr">
        <is>
          <t>70%</t>
        </is>
      </c>
      <c r="D169" s="232" t="n"/>
      <c r="E169" s="232" t="n"/>
      <c r="F169" s="232" t="n"/>
      <c r="G169" s="232" t="n"/>
    </row>
    <row r="170" ht="30" customHeight="1">
      <c r="A170" s="19" t="inlineStr">
        <is>
          <t>車輛行駛人行道</t>
        </is>
      </c>
      <c r="B170" s="225" t="n">
        <v>19</v>
      </c>
      <c r="C170" s="223" t="inlineStr">
        <is>
          <t>70%</t>
        </is>
      </c>
      <c r="D170" s="232" t="n"/>
      <c r="E170" s="232" t="n"/>
      <c r="F170" s="232" t="n"/>
      <c r="G170" s="232" t="n"/>
    </row>
    <row r="171" ht="30" customHeight="1">
      <c r="A171" s="19" t="inlineStr">
        <is>
          <t>移動式測速取締</t>
        </is>
      </c>
      <c r="B171" s="225" t="n">
        <v>0</v>
      </c>
      <c r="C171" s="223" t="inlineStr">
        <is>
          <t>70%</t>
        </is>
      </c>
      <c r="D171" s="232" t="n"/>
      <c r="E171" s="232" t="n"/>
      <c r="F171" s="232" t="n"/>
      <c r="G171" s="232" t="n"/>
    </row>
    <row r="172" ht="30" customHeight="1">
      <c r="A172" s="19" t="inlineStr">
        <is>
          <t>大型車動態違規</t>
        </is>
      </c>
      <c r="B172" s="225" t="n">
        <v>7</v>
      </c>
      <c r="C172" s="223" t="inlineStr">
        <is>
          <t>70%</t>
        </is>
      </c>
      <c r="D172" s="232" t="n"/>
      <c r="E172" s="232" t="n"/>
      <c r="F172" s="232" t="n"/>
      <c r="G172" s="232" t="n"/>
    </row>
    <row r="173" ht="30" customHeight="1">
      <c r="A173" s="19" t="inlineStr">
        <is>
          <t>慢車易肇事違規</t>
        </is>
      </c>
      <c r="B173" s="225" t="n">
        <v>5</v>
      </c>
      <c r="C173" s="223" t="inlineStr">
        <is>
          <t>70%</t>
        </is>
      </c>
      <c r="D173" s="232" t="n"/>
      <c r="E173" s="232" t="n"/>
      <c r="F173" s="232" t="n"/>
      <c r="G173" s="232" t="n"/>
    </row>
    <row r="174" ht="30" customHeight="1">
      <c r="A174" s="20" t="n"/>
      <c r="B174" s="227" t="n"/>
      <c r="C174" s="227" t="n"/>
      <c r="D174" s="232" t="n"/>
      <c r="E174" s="232" t="n"/>
      <c r="F174" s="232" t="n"/>
      <c r="G174" s="232" t="n"/>
    </row>
    <row r="175" ht="30" customHeight="1">
      <c r="A175" s="20" t="n"/>
      <c r="B175" s="227" t="n"/>
      <c r="C175" s="227" t="n"/>
      <c r="D175" s="232" t="n"/>
      <c r="E175" s="232" t="n"/>
      <c r="F175" s="232" t="n"/>
      <c r="G175" s="232" t="n"/>
    </row>
    <row r="176" ht="30" customHeight="1">
      <c r="A176" s="20" t="n"/>
      <c r="B176" s="227" t="n"/>
      <c r="C176" s="227" t="n"/>
      <c r="D176" s="232" t="n"/>
      <c r="E176" s="232" t="n"/>
      <c r="F176" s="232" t="n"/>
      <c r="G176" s="232" t="n"/>
    </row>
    <row r="177" ht="30" customHeight="1">
      <c r="A177" s="20" t="n"/>
      <c r="B177" s="227" t="n"/>
      <c r="C177" s="227" t="n"/>
      <c r="D177" s="232" t="n"/>
      <c r="E177" s="232" t="n"/>
      <c r="F177" s="232" t="n"/>
      <c r="G177" s="232" t="n"/>
    </row>
    <row r="178" ht="20" customHeight="1">
      <c r="B178" s="232" t="n"/>
      <c r="C178" s="232" t="n"/>
      <c r="D178" s="232" t="n"/>
      <c r="E178" s="232" t="n"/>
      <c r="F178" s="232" t="n"/>
      <c r="G178" s="232" t="n"/>
    </row>
    <row r="179" ht="38" customHeight="1">
      <c r="A179" s="65" t="inlineStr">
        <is>
          <t xml:space="preserve">  👶  F 區 ─ 婦幼/協尋（方案 A 半自動）    ｜ 連動頁 2.5「其他管制項目」</t>
        </is>
      </c>
      <c r="B179" s="6" t="n"/>
      <c r="C179" s="6" t="n"/>
      <c r="D179" s="232" t="n"/>
      <c r="E179" s="232" t="n"/>
      <c r="F179" s="232" t="n"/>
      <c r="G179" s="232" t="n"/>
    </row>
    <row r="180" ht="34" customHeight="1">
      <c r="A180" s="10" t="inlineStr">
        <is>
          <t>項目</t>
        </is>
      </c>
      <c r="B180" s="235" t="inlineStr">
        <is>
          <t>件數</t>
        </is>
      </c>
      <c r="C180" s="235" t="inlineStr">
        <is>
          <t>最後更新日</t>
        </is>
      </c>
      <c r="D180" s="232" t="n"/>
      <c r="E180" s="232" t="n"/>
      <c r="F180" s="232" t="n"/>
      <c r="G180" s="232" t="n"/>
    </row>
    <row r="181" ht="30" customHeight="1">
      <c r="A181" s="13" t="inlineStr">
        <is>
          <t>婦幼案件</t>
        </is>
      </c>
      <c r="B181" s="243" t="n">
        <v>0</v>
      </c>
      <c r="C181" s="223" t="inlineStr">
        <is>
          <t>115/05/22</t>
        </is>
      </c>
      <c r="D181" s="232" t="n"/>
      <c r="E181" s="232" t="n"/>
      <c r="F181" s="232" t="n"/>
      <c r="G181" s="232" t="n"/>
    </row>
    <row r="182" ht="30" customHeight="1">
      <c r="A182" s="13" t="inlineStr">
        <is>
          <t>協尋人口案件</t>
        </is>
      </c>
      <c r="B182" s="243" t="n">
        <v>0</v>
      </c>
      <c r="C182" s="223" t="inlineStr">
        <is>
          <t>115/05/22</t>
        </is>
      </c>
      <c r="D182" s="232" t="n"/>
      <c r="E182" s="232" t="n"/>
      <c r="F182" s="232" t="n"/>
      <c r="G182" s="232" t="n"/>
    </row>
    <row r="183" ht="20" customHeight="1">
      <c r="B183" s="232" t="n"/>
      <c r="C183" s="232" t="n"/>
      <c r="D183" s="232" t="n"/>
      <c r="E183" s="232" t="n"/>
      <c r="F183" s="232" t="n"/>
      <c r="G183" s="232" t="n"/>
    </row>
    <row r="184" ht="38" customHeight="1">
      <c r="A184" s="65" t="inlineStr">
        <is>
          <t xml:space="preserve">  🔒  H 區 ─ 安全密碼 + 9 個下拉清單    ｜ 部署密碼 + 9 個下拉清單</t>
        </is>
      </c>
      <c r="B184" s="6" t="n"/>
      <c r="C184" s="6" t="n"/>
      <c r="D184" s="232" t="n"/>
      <c r="E184" s="232" t="n"/>
      <c r="F184" s="232" t="n"/>
      <c r="G184" s="232" t="n"/>
    </row>
    <row r="185" ht="34" customHeight="1">
      <c r="A185" s="10" t="inlineStr">
        <is>
          <t>項目</t>
        </is>
      </c>
      <c r="B185" s="235" t="inlineStr">
        <is>
          <t>值</t>
        </is>
      </c>
      <c r="C185" s="235" t="inlineStr">
        <is>
          <t>說明</t>
        </is>
      </c>
      <c r="D185" s="232" t="n"/>
      <c r="E185" s="232" t="n"/>
      <c r="F185" s="232" t="n"/>
      <c r="G185" s="232" t="n"/>
    </row>
    <row r="186" ht="30" customHeight="1">
      <c r="A186" s="13" t="inlineStr">
        <is>
          <t>案件資料庫密碼</t>
        </is>
      </c>
      <c r="B186" s="242" t="inlineStr">
        <is>
          <t>KD2026</t>
        </is>
      </c>
      <c r="C186" s="244" t="inlineStr">
        <is>
          <t>⚠ 預設 KD2026，強烈建議派出所自訂個別密碼</t>
        </is>
      </c>
      <c r="D186" s="232" t="n"/>
      <c r="E186" s="232" t="n"/>
      <c r="F186" s="232" t="n"/>
      <c r="G186" s="232" t="n"/>
    </row>
    <row r="187" ht="20" customHeight="1">
      <c r="B187" s="232" t="n"/>
      <c r="C187" s="232" t="n"/>
      <c r="D187" s="232" t="n"/>
      <c r="E187" s="232" t="n"/>
      <c r="F187" s="232" t="n"/>
      <c r="G187" s="232" t="n"/>
    </row>
    <row r="188" ht="26" customHeight="1">
      <c r="A188" s="66" t="inlineStr">
        <is>
          <t xml:space="preserve">  📋 偵辦進度清單（命名範圍：偵辦進度清單）</t>
        </is>
      </c>
      <c r="B188" s="34" t="n"/>
      <c r="C188" s="34" t="n"/>
      <c r="D188" s="232" t="n"/>
      <c r="E188" s="232" t="n"/>
      <c r="F188" s="232" t="n"/>
      <c r="G188" s="232" t="n"/>
    </row>
    <row r="189" ht="30" customHeight="1">
      <c r="A189" s="19" t="inlineStr">
        <is>
          <t>偵辦中</t>
        </is>
      </c>
      <c r="B189" s="232" t="n"/>
      <c r="C189" s="232" t="n"/>
      <c r="D189" s="232" t="n"/>
      <c r="E189" s="232" t="n"/>
      <c r="F189" s="232" t="n"/>
      <c r="G189" s="232" t="n"/>
    </row>
    <row r="190" ht="30" customHeight="1">
      <c r="A190" s="19" t="inlineStr">
        <is>
          <t>已破獲</t>
        </is>
      </c>
      <c r="B190" s="232" t="n"/>
      <c r="C190" s="232" t="n"/>
      <c r="D190" s="232" t="n"/>
      <c r="E190" s="232" t="n"/>
      <c r="F190" s="232" t="n"/>
      <c r="G190" s="232" t="n"/>
    </row>
    <row r="191" ht="30" customHeight="1">
      <c r="A191" s="19" t="inlineStr">
        <is>
          <t>已移送</t>
        </is>
      </c>
      <c r="B191" s="232" t="n"/>
      <c r="C191" s="232" t="n"/>
      <c r="D191" s="232" t="n"/>
      <c r="E191" s="232" t="n"/>
      <c r="F191" s="232" t="n"/>
      <c r="G191" s="232" t="n"/>
    </row>
    <row r="192" ht="30" customHeight="1">
      <c r="A192" s="19" t="inlineStr">
        <is>
          <t>簽結</t>
        </is>
      </c>
      <c r="B192" s="232" t="n"/>
      <c r="C192" s="232" t="n"/>
      <c r="D192" s="232" t="n"/>
      <c r="E192" s="232" t="n"/>
      <c r="F192" s="232" t="n"/>
      <c r="G192" s="232" t="n"/>
    </row>
    <row r="193" ht="10" customHeight="1">
      <c r="B193" s="232" t="n"/>
      <c r="C193" s="232" t="n"/>
      <c r="D193" s="232" t="n"/>
      <c r="E193" s="232" t="n"/>
      <c r="F193" s="232" t="n"/>
      <c r="G193" s="232" t="n"/>
    </row>
    <row r="194" ht="26" customHeight="1">
      <c r="A194" s="66" t="inlineStr">
        <is>
          <t xml:space="preserve">  📋 案件狀況清單（命名範圍：案件狀況清單）</t>
        </is>
      </c>
      <c r="B194" s="34" t="n"/>
      <c r="C194" s="34" t="n"/>
      <c r="D194" s="232" t="n"/>
      <c r="E194" s="232" t="n"/>
      <c r="F194" s="232" t="n"/>
      <c r="G194" s="232" t="n"/>
    </row>
    <row r="195" ht="30" customHeight="1">
      <c r="A195" s="19" t="inlineStr">
        <is>
          <t>尚未偵破</t>
        </is>
      </c>
      <c r="B195" s="232" t="n"/>
      <c r="C195" s="232" t="n"/>
      <c r="D195" s="232" t="n"/>
      <c r="E195" s="232" t="n"/>
      <c r="F195" s="232" t="n"/>
      <c r="G195" s="232" t="n"/>
    </row>
    <row r="196" ht="30" customHeight="1">
      <c r="A196" s="19" t="inlineStr">
        <is>
          <t>已破獲未移送</t>
        </is>
      </c>
      <c r="B196" s="232" t="n"/>
      <c r="C196" s="232" t="n"/>
      <c r="D196" s="232" t="n"/>
      <c r="E196" s="232" t="n"/>
      <c r="F196" s="232" t="n"/>
      <c r="G196" s="232" t="n"/>
    </row>
    <row r="197" ht="30" customHeight="1">
      <c r="A197" s="19" t="inlineStr">
        <is>
          <t>已移送</t>
        </is>
      </c>
      <c r="B197" s="232" t="n"/>
      <c r="C197" s="232" t="n"/>
      <c r="D197" s="232" t="n"/>
      <c r="E197" s="232" t="n"/>
      <c r="F197" s="232" t="n"/>
      <c r="G197" s="232" t="n"/>
    </row>
    <row r="198" ht="30" customHeight="1">
      <c r="A198" s="19" t="inlineStr">
        <is>
          <t>簽結</t>
        </is>
      </c>
      <c r="B198" s="232" t="n"/>
      <c r="C198" s="232" t="n"/>
      <c r="D198" s="232" t="n"/>
      <c r="E198" s="232" t="n"/>
      <c r="F198" s="232" t="n"/>
      <c r="G198" s="232" t="n"/>
    </row>
    <row r="199" ht="10" customHeight="1">
      <c r="B199" s="232" t="n"/>
      <c r="C199" s="232" t="n"/>
      <c r="D199" s="232" t="n"/>
      <c r="E199" s="232" t="n"/>
      <c r="F199" s="232" t="n"/>
      <c r="G199" s="232" t="n"/>
    </row>
    <row r="200" ht="26" customHeight="1">
      <c r="A200" s="66" t="inlineStr">
        <is>
          <t xml:space="preserve">  📋 發生管轄清單（命名範圍：發生管轄清單）</t>
        </is>
      </c>
      <c r="B200" s="34" t="n"/>
      <c r="C200" s="34" t="n"/>
      <c r="D200" s="232" t="n"/>
      <c r="E200" s="232" t="n"/>
      <c r="F200" s="232" t="n"/>
      <c r="G200" s="232" t="n"/>
    </row>
    <row r="201" ht="30" customHeight="1">
      <c r="A201" s="19" t="inlineStr">
        <is>
          <t>本轄</t>
        </is>
      </c>
      <c r="B201" s="232" t="n"/>
      <c r="C201" s="232" t="n"/>
      <c r="D201" s="232" t="n"/>
      <c r="E201" s="232" t="n"/>
      <c r="F201" s="232" t="n"/>
      <c r="G201" s="232" t="n"/>
    </row>
    <row r="202" ht="30" customHeight="1">
      <c r="A202" s="19" t="inlineStr">
        <is>
          <t>他轄</t>
        </is>
      </c>
      <c r="B202" s="232" t="n"/>
      <c r="C202" s="232" t="n"/>
      <c r="D202" s="232" t="n"/>
      <c r="E202" s="232" t="n"/>
      <c r="F202" s="232" t="n"/>
      <c r="G202" s="232" t="n"/>
    </row>
    <row r="203" ht="10" customHeight="1">
      <c r="B203" s="232" t="n"/>
      <c r="C203" s="232" t="n"/>
      <c r="D203" s="232" t="n"/>
      <c r="E203" s="232" t="n"/>
      <c r="F203" s="232" t="n"/>
      <c r="G203" s="232" t="n"/>
    </row>
    <row r="204" ht="26" customHeight="1">
      <c r="A204" s="66" t="inlineStr">
        <is>
          <t xml:space="preserve">  📋 查獲管轄清單（命名範圍：查獲管轄清單）</t>
        </is>
      </c>
      <c r="B204" s="34" t="n"/>
      <c r="C204" s="34" t="n"/>
      <c r="D204" s="232" t="n"/>
      <c r="E204" s="232" t="n"/>
      <c r="F204" s="232" t="n"/>
      <c r="G204" s="232" t="n"/>
    </row>
    <row r="205" ht="30" customHeight="1">
      <c r="A205" s="19" t="inlineStr">
        <is>
          <t>本轄</t>
        </is>
      </c>
      <c r="B205" s="232" t="n"/>
      <c r="C205" s="232" t="n"/>
      <c r="D205" s="232" t="n"/>
      <c r="E205" s="232" t="n"/>
      <c r="F205" s="232" t="n"/>
      <c r="G205" s="232" t="n"/>
    </row>
    <row r="206" ht="30" customHeight="1">
      <c r="A206" s="19" t="inlineStr">
        <is>
          <t>他轄</t>
        </is>
      </c>
      <c r="B206" s="232" t="n"/>
      <c r="C206" s="232" t="n"/>
      <c r="D206" s="232" t="n"/>
      <c r="E206" s="232" t="n"/>
      <c r="F206" s="232" t="n"/>
      <c r="G206" s="232" t="n"/>
    </row>
    <row r="207" ht="10" customHeight="1">
      <c r="B207" s="232" t="n"/>
      <c r="C207" s="232" t="n"/>
      <c r="D207" s="232" t="n"/>
      <c r="E207" s="232" t="n"/>
      <c r="F207" s="232" t="n"/>
      <c r="G207" s="232" t="n"/>
    </row>
    <row r="208" ht="26" customHeight="1">
      <c r="A208" s="66" t="inlineStr">
        <is>
          <t xml:space="preserve">  📋 性別清單（命名範圍：性別清單）</t>
        </is>
      </c>
      <c r="B208" s="34" t="n"/>
      <c r="C208" s="34" t="n"/>
      <c r="D208" s="232" t="n"/>
      <c r="E208" s="232" t="n"/>
      <c r="F208" s="232" t="n"/>
      <c r="G208" s="232" t="n"/>
    </row>
    <row r="209" ht="30" customHeight="1">
      <c r="A209" s="19" t="inlineStr">
        <is>
          <t>男</t>
        </is>
      </c>
      <c r="B209" s="232" t="n"/>
      <c r="C209" s="232" t="n"/>
      <c r="D209" s="232" t="n"/>
      <c r="E209" s="232" t="n"/>
      <c r="F209" s="232" t="n"/>
      <c r="G209" s="232" t="n"/>
    </row>
    <row r="210" ht="30" customHeight="1">
      <c r="A210" s="19" t="inlineStr">
        <is>
          <t>女</t>
        </is>
      </c>
      <c r="B210" s="232" t="n"/>
      <c r="C210" s="232" t="n"/>
      <c r="D210" s="232" t="n"/>
      <c r="E210" s="232" t="n"/>
      <c r="F210" s="232" t="n"/>
      <c r="G210" s="232" t="n"/>
    </row>
    <row r="211" ht="10" customHeight="1">
      <c r="B211" s="232" t="n"/>
      <c r="C211" s="232" t="n"/>
      <c r="D211" s="232" t="n"/>
      <c r="E211" s="232" t="n"/>
      <c r="F211" s="232" t="n"/>
      <c r="G211" s="232" t="n"/>
    </row>
    <row r="212" ht="26" customHeight="1">
      <c r="A212" s="66" t="inlineStr">
        <is>
          <t xml:space="preserve">  📋 通緝清單（命名範圍：通緝清單）</t>
        </is>
      </c>
      <c r="B212" s="34" t="n"/>
      <c r="C212" s="34" t="n"/>
      <c r="D212" s="232" t="n"/>
      <c r="E212" s="232" t="n"/>
      <c r="F212" s="232" t="n"/>
      <c r="G212" s="232" t="n"/>
    </row>
    <row r="213" ht="30" customHeight="1">
      <c r="A213" s="19" t="inlineStr">
        <is>
          <t>是</t>
        </is>
      </c>
      <c r="B213" s="232" t="n"/>
      <c r="C213" s="232" t="n"/>
      <c r="D213" s="232" t="n"/>
      <c r="E213" s="232" t="n"/>
      <c r="F213" s="232" t="n"/>
      <c r="G213" s="232" t="n"/>
    </row>
    <row r="214" ht="30" customHeight="1">
      <c r="A214" s="19" t="inlineStr">
        <is>
          <t>否</t>
        </is>
      </c>
      <c r="B214" s="232" t="n"/>
      <c r="C214" s="232" t="n"/>
      <c r="D214" s="232" t="n"/>
      <c r="E214" s="232" t="n"/>
      <c r="F214" s="232" t="n"/>
      <c r="G214" s="232" t="n"/>
    </row>
    <row r="215" ht="10" customHeight="1">
      <c r="B215" s="232" t="n"/>
      <c r="C215" s="232" t="n"/>
      <c r="D215" s="232" t="n"/>
      <c r="E215" s="232" t="n"/>
      <c r="F215" s="232" t="n"/>
      <c r="G215" s="232" t="n"/>
    </row>
    <row r="216" ht="26" customHeight="1">
      <c r="A216" s="66" t="inlineStr">
        <is>
          <t xml:space="preserve">  📋 毒品管制情形清單（命名範圍：毒品管制情形清單）</t>
        </is>
      </c>
      <c r="B216" s="34" t="n"/>
      <c r="C216" s="34" t="n"/>
      <c r="D216" s="232" t="n"/>
      <c r="E216" s="232" t="n"/>
      <c r="F216" s="232" t="n"/>
      <c r="G216" s="232" t="n"/>
    </row>
    <row r="217" ht="30" customHeight="1">
      <c r="A217" s="19" t="inlineStr">
        <is>
          <t>已到驗</t>
        </is>
      </c>
      <c r="B217" s="232" t="n"/>
      <c r="C217" s="232" t="n"/>
      <c r="D217" s="232" t="n"/>
      <c r="E217" s="232" t="n"/>
      <c r="F217" s="232" t="n"/>
      <c r="G217" s="232" t="n"/>
    </row>
    <row r="218" ht="30" customHeight="1">
      <c r="A218" s="19" t="inlineStr">
        <is>
          <t>未到驗</t>
        </is>
      </c>
      <c r="B218" s="232" t="n"/>
      <c r="C218" s="232" t="n"/>
      <c r="D218" s="232" t="n"/>
      <c r="E218" s="232" t="n"/>
      <c r="F218" s="232" t="n"/>
      <c r="G218" s="232" t="n"/>
    </row>
    <row r="219" ht="30" customHeight="1">
      <c r="A219" s="19" t="inlineStr">
        <is>
          <t>已聲強採</t>
        </is>
      </c>
      <c r="B219" s="232" t="n"/>
      <c r="C219" s="232" t="n"/>
      <c r="D219" s="232" t="n"/>
      <c r="E219" s="232" t="n"/>
      <c r="F219" s="232" t="n"/>
      <c r="G219" s="232" t="n"/>
    </row>
    <row r="220" ht="30" customHeight="1">
      <c r="A220" s="19" t="inlineStr">
        <is>
          <t>通緝中</t>
        </is>
      </c>
      <c r="B220" s="232" t="n"/>
      <c r="C220" s="232" t="n"/>
      <c r="D220" s="232" t="n"/>
      <c r="E220" s="232" t="n"/>
      <c r="F220" s="232" t="n"/>
      <c r="G220" s="232" t="n"/>
    </row>
    <row r="221" ht="30" customHeight="1">
      <c r="A221" s="19" t="inlineStr">
        <is>
          <t>在監</t>
        </is>
      </c>
      <c r="B221" s="232" t="n"/>
      <c r="C221" s="232" t="n"/>
      <c r="D221" s="232" t="n"/>
      <c r="E221" s="232" t="n"/>
      <c r="F221" s="232" t="n"/>
      <c r="G221" s="232" t="n"/>
    </row>
    <row r="222" ht="30" customHeight="1">
      <c r="A222" s="19" t="inlineStr">
        <is>
          <t>解除列管</t>
        </is>
      </c>
      <c r="B222" s="232" t="n"/>
      <c r="C222" s="232" t="n"/>
      <c r="D222" s="232" t="n"/>
      <c r="E222" s="232" t="n"/>
      <c r="F222" s="232" t="n"/>
      <c r="G222" s="232" t="n"/>
    </row>
    <row r="223" ht="10" customHeight="1">
      <c r="B223" s="232" t="n"/>
      <c r="C223" s="232" t="n"/>
      <c r="D223" s="232" t="n"/>
      <c r="E223" s="232" t="n"/>
      <c r="F223" s="232" t="n"/>
      <c r="G223" s="232" t="n"/>
    </row>
    <row r="224" ht="26" customHeight="1">
      <c r="A224" s="66" t="inlineStr">
        <is>
          <t xml:space="preserve">  📋 發展中進度清單（命名範圍：發展中進度清單）</t>
        </is>
      </c>
      <c r="B224" s="34" t="n"/>
      <c r="C224" s="34" t="n"/>
      <c r="D224" s="232" t="n"/>
      <c r="E224" s="232" t="n"/>
      <c r="F224" s="232" t="n"/>
      <c r="G224" s="232" t="n"/>
    </row>
    <row r="225" ht="30" customHeight="1">
      <c r="A225" s="19" t="inlineStr">
        <is>
          <t>偵辦中</t>
        </is>
      </c>
      <c r="B225" s="232" t="n"/>
      <c r="C225" s="232" t="n"/>
      <c r="D225" s="232" t="n"/>
      <c r="E225" s="232" t="n"/>
      <c r="F225" s="232" t="n"/>
      <c r="G225" s="232" t="n"/>
    </row>
    <row r="226" ht="30" customHeight="1">
      <c r="A226" s="19" t="inlineStr">
        <is>
          <t>已成熟</t>
        </is>
      </c>
      <c r="B226" s="232" t="n"/>
      <c r="C226" s="232" t="n"/>
      <c r="D226" s="232" t="n"/>
      <c r="E226" s="232" t="n"/>
      <c r="F226" s="232" t="n"/>
      <c r="G226" s="232" t="n"/>
    </row>
    <row r="227" ht="30" customHeight="1">
      <c r="A227" s="19" t="inlineStr">
        <is>
          <t>簽結</t>
        </is>
      </c>
      <c r="B227" s="232" t="n"/>
      <c r="C227" s="232" t="n"/>
      <c r="D227" s="232" t="n"/>
      <c r="E227" s="232" t="n"/>
      <c r="F227" s="232" t="n"/>
      <c r="G227" s="232" t="n"/>
    </row>
    <row r="228" ht="10" customHeight="1">
      <c r="B228" s="232" t="n"/>
      <c r="C228" s="232" t="n"/>
      <c r="D228" s="232" t="n"/>
      <c r="E228" s="232" t="n"/>
      <c r="F228" s="232" t="n"/>
      <c r="G228" s="232" t="n"/>
    </row>
    <row r="229" ht="26" customHeight="1">
      <c r="A229" s="66" t="inlineStr">
        <is>
          <t xml:space="preserve">  📋 是否在職清單（命名範圍：是否在職清單）</t>
        </is>
      </c>
      <c r="B229" s="34" t="n"/>
      <c r="C229" s="34" t="n"/>
      <c r="D229" s="232" t="n"/>
      <c r="E229" s="232" t="n"/>
      <c r="F229" s="232" t="n"/>
      <c r="G229" s="232" t="n"/>
    </row>
    <row r="230" ht="30" customHeight="1">
      <c r="A230" s="19" t="inlineStr">
        <is>
          <t>是</t>
        </is>
      </c>
      <c r="B230" s="232" t="n"/>
      <c r="C230" s="232" t="n"/>
      <c r="D230" s="232" t="n"/>
      <c r="E230" s="232" t="n"/>
      <c r="F230" s="232" t="n"/>
      <c r="G230" s="232" t="n"/>
    </row>
    <row r="231" ht="30" customHeight="1">
      <c r="A231" s="19" t="inlineStr">
        <is>
          <t>否</t>
        </is>
      </c>
      <c r="B231" s="232" t="n"/>
      <c r="C231" s="232" t="n"/>
      <c r="D231" s="232" t="n"/>
      <c r="E231" s="232" t="n"/>
      <c r="F231" s="232" t="n"/>
      <c r="G231" s="232" t="n"/>
    </row>
    <row r="232" ht="10" customHeight="1">
      <c r="B232" s="232" t="n"/>
      <c r="C232" s="232" t="n"/>
      <c r="D232" s="232" t="n"/>
      <c r="E232" s="232" t="n"/>
      <c r="F232" s="232" t="n"/>
      <c r="G232" s="232" t="n"/>
    </row>
    <row r="233" ht="26" customHeight="1">
      <c r="A233" s="66" t="inlineStr">
        <is>
          <t xml:space="preserve">  📋 績效類別清單（命名範圍：績效類別清單）</t>
        </is>
      </c>
      <c r="B233" s="34" t="n"/>
      <c r="C233" s="34" t="n"/>
      <c r="D233" s="232" t="n"/>
      <c r="E233" s="232" t="n"/>
      <c r="F233" s="232" t="n"/>
      <c r="G233" s="232" t="n"/>
    </row>
    <row r="234" ht="30" customHeight="1">
      <c r="A234" s="19" t="inlineStr">
        <is>
          <t>毒品線上</t>
        </is>
      </c>
      <c r="B234" s="232" t="n"/>
      <c r="C234" s="232" t="n"/>
      <c r="D234" s="232" t="n"/>
      <c r="E234" s="232" t="n"/>
      <c r="F234" s="232" t="n"/>
      <c r="G234" s="232" t="n"/>
    </row>
    <row r="235" ht="30" customHeight="1">
      <c r="A235" s="19" t="inlineStr">
        <is>
          <t>酒駕線上</t>
        </is>
      </c>
      <c r="B235" s="232" t="n"/>
      <c r="C235" s="232" t="n"/>
      <c r="D235" s="232" t="n"/>
      <c r="E235" s="232" t="n"/>
      <c r="F235" s="232" t="n"/>
      <c r="G235" s="232" t="n"/>
    </row>
    <row r="236" ht="30" customHeight="1">
      <c r="A236" s="19" t="inlineStr">
        <is>
          <t>其他線上</t>
        </is>
      </c>
      <c r="B236" s="232" t="n"/>
      <c r="C236" s="232" t="n"/>
      <c r="D236" s="232" t="n"/>
      <c r="E236" s="232" t="n"/>
      <c r="F236" s="232" t="n"/>
      <c r="G236" s="232" t="n"/>
    </row>
    <row r="237" ht="10" customHeight="1">
      <c r="B237" s="232" t="n"/>
      <c r="C237" s="232" t="n"/>
      <c r="D237" s="232" t="n"/>
      <c r="E237" s="232" t="n"/>
      <c r="F237" s="232" t="n"/>
      <c r="G237" s="232" t="n"/>
    </row>
    <row r="238" ht="26" customHeight="1">
      <c r="A238" s="66" t="inlineStr">
        <is>
          <t xml:space="preserve">  📋 線索來源清單（命名範圍：線索來源清單）</t>
        </is>
      </c>
      <c r="B238" s="34" t="n"/>
      <c r="C238" s="34" t="n"/>
      <c r="D238" s="232" t="n"/>
      <c r="E238" s="232" t="n"/>
      <c r="F238" s="232" t="n"/>
      <c r="G238" s="232" t="n"/>
    </row>
    <row r="239" ht="30" customHeight="1">
      <c r="A239" s="19" t="inlineStr">
        <is>
          <t>民眾報案</t>
        </is>
      </c>
      <c r="B239" s="232" t="n"/>
      <c r="C239" s="232" t="n"/>
      <c r="D239" s="232" t="n"/>
      <c r="E239" s="232" t="n"/>
      <c r="F239" s="232" t="n"/>
      <c r="G239" s="232" t="n"/>
    </row>
    <row r="240" ht="30" customHeight="1">
      <c r="A240" s="19" t="inlineStr">
        <is>
          <t>巡邏發現</t>
        </is>
      </c>
      <c r="B240" s="232" t="n"/>
      <c r="C240" s="232" t="n"/>
      <c r="D240" s="232" t="n"/>
      <c r="E240" s="232" t="n"/>
      <c r="F240" s="232" t="n"/>
      <c r="G240" s="232" t="n"/>
    </row>
    <row r="241" ht="30" customHeight="1">
      <c r="A241" s="19" t="inlineStr">
        <is>
          <t>同仁通報</t>
        </is>
      </c>
      <c r="B241" s="232" t="n"/>
      <c r="C241" s="232" t="n"/>
      <c r="D241" s="232" t="n"/>
      <c r="E241" s="232" t="n"/>
      <c r="F241" s="232" t="n"/>
      <c r="G241" s="232" t="n"/>
    </row>
    <row r="242" ht="30" customHeight="1">
      <c r="A242" s="19" t="inlineStr">
        <is>
          <t>上級交辦</t>
        </is>
      </c>
      <c r="B242" s="232" t="n"/>
      <c r="C242" s="232" t="n"/>
      <c r="D242" s="232" t="n"/>
      <c r="E242" s="232" t="n"/>
      <c r="F242" s="232" t="n"/>
      <c r="G242" s="232" t="n"/>
    </row>
    <row r="243" ht="30" customHeight="1">
      <c r="A243" s="19" t="inlineStr">
        <is>
          <t>媒體</t>
        </is>
      </c>
      <c r="B243" s="232" t="n"/>
      <c r="C243" s="232" t="n"/>
      <c r="D243" s="232" t="n"/>
      <c r="E243" s="232" t="n"/>
      <c r="F243" s="232" t="n"/>
      <c r="G243" s="232" t="n"/>
    </row>
    <row r="244" ht="30" customHeight="1">
      <c r="A244" s="19" t="inlineStr">
        <is>
          <t>其他</t>
        </is>
      </c>
      <c r="B244" s="232" t="n"/>
      <c r="C244" s="232" t="n"/>
      <c r="D244" s="232" t="n"/>
      <c r="E244" s="232" t="n"/>
      <c r="F244" s="232" t="n"/>
      <c r="G244" s="232" t="n"/>
    </row>
    <row r="245" ht="10" customHeight="1">
      <c r="B245" s="232" t="n"/>
      <c r="C245" s="232" t="n"/>
      <c r="D245" s="232" t="n"/>
      <c r="E245" s="232" t="n"/>
      <c r="F245" s="232" t="n"/>
      <c r="G245" s="232" t="n"/>
    </row>
    <row r="246" ht="26" customHeight="1">
      <c r="A246" s="66" t="inlineStr">
        <is>
          <t xml:space="preserve">  📋 重大性清單（命名範圍：重大性清單）</t>
        </is>
      </c>
      <c r="B246" s="34" t="n"/>
      <c r="C246" s="34" t="n"/>
      <c r="D246" s="232" t="n"/>
      <c r="E246" s="232" t="n"/>
      <c r="F246" s="232" t="n"/>
      <c r="G246" s="232" t="n"/>
    </row>
    <row r="247" ht="30" customHeight="1">
      <c r="A247" s="19" t="inlineStr">
        <is>
          <t>高</t>
        </is>
      </c>
      <c r="B247" s="232" t="n"/>
      <c r="C247" s="232" t="n"/>
      <c r="D247" s="232" t="n"/>
      <c r="E247" s="232" t="n"/>
      <c r="F247" s="232" t="n"/>
      <c r="G247" s="232" t="n"/>
    </row>
    <row r="248" ht="30" customHeight="1">
      <c r="A248" s="19" t="inlineStr">
        <is>
          <t>中</t>
        </is>
      </c>
      <c r="B248" s="232" t="n"/>
      <c r="C248" s="232" t="n"/>
      <c r="D248" s="232" t="n"/>
      <c r="E248" s="232" t="n"/>
      <c r="F248" s="232" t="n"/>
      <c r="G248" s="232" t="n"/>
    </row>
    <row r="249" ht="30" customHeight="1">
      <c r="A249" s="19" t="inlineStr">
        <is>
          <t>低</t>
        </is>
      </c>
      <c r="B249" s="232" t="n"/>
      <c r="C249" s="232" t="n"/>
      <c r="D249" s="232" t="n"/>
      <c r="E249" s="232" t="n"/>
      <c r="F249" s="232" t="n"/>
      <c r="G249" s="232" t="n"/>
    </row>
    <row r="250" ht="10" customHeight="1">
      <c r="B250" s="232" t="n"/>
      <c r="C250" s="232" t="n"/>
      <c r="D250" s="232" t="n"/>
      <c r="E250" s="232" t="n"/>
      <c r="F250" s="232" t="n"/>
      <c r="G250" s="232" t="n"/>
    </row>
    <row r="251">
      <c r="B251" s="232" t="n"/>
      <c r="C251" s="232" t="n"/>
      <c r="D251" s="232" t="n"/>
      <c r="E251" s="232" t="n"/>
      <c r="F251" s="232" t="n"/>
      <c r="G251" s="232" t="n"/>
    </row>
    <row r="252">
      <c r="B252" s="232" t="n"/>
      <c r="C252" s="232" t="n"/>
      <c r="D252" s="232" t="n"/>
      <c r="E252" s="232" t="n"/>
      <c r="F252" s="232" t="n"/>
      <c r="G252" s="232" t="n"/>
    </row>
    <row r="253">
      <c r="B253" s="232" t="n"/>
      <c r="C253" s="232" t="n"/>
      <c r="D253" s="232" t="n"/>
      <c r="E253" s="232" t="n"/>
      <c r="F253" s="232" t="n"/>
      <c r="G253" s="232" t="n"/>
    </row>
    <row r="254">
      <c r="B254" s="232" t="n"/>
      <c r="C254" s="232" t="n"/>
      <c r="D254" s="232" t="n"/>
      <c r="E254" s="232" t="n"/>
      <c r="F254" s="232" t="n"/>
      <c r="G254" s="232" t="n"/>
    </row>
    <row r="255">
      <c r="B255" s="232" t="n"/>
      <c r="C255" s="232" t="n"/>
      <c r="D255" s="232" t="n"/>
      <c r="E255" s="232" t="n"/>
      <c r="F255" s="232" t="n"/>
      <c r="G255" s="232" t="n"/>
    </row>
    <row r="256">
      <c r="B256" s="232" t="n"/>
      <c r="C256" s="232" t="n"/>
      <c r="D256" s="232" t="n"/>
      <c r="E256" s="232" t="n"/>
      <c r="F256" s="232" t="n"/>
      <c r="G256" s="232" t="n"/>
    </row>
    <row r="257">
      <c r="B257" s="232" t="n"/>
      <c r="C257" s="232" t="n"/>
      <c r="D257" s="232" t="n"/>
      <c r="E257" s="232" t="n"/>
      <c r="F257" s="232" t="n"/>
      <c r="G257" s="232" t="n"/>
    </row>
    <row r="258">
      <c r="B258" s="232" t="n"/>
      <c r="C258" s="232" t="n"/>
      <c r="D258" s="232" t="n"/>
      <c r="E258" s="232" t="n"/>
      <c r="F258" s="232" t="n"/>
      <c r="G258" s="232" t="n"/>
    </row>
    <row r="259">
      <c r="B259" s="232" t="n"/>
      <c r="C259" s="232" t="n"/>
      <c r="D259" s="232" t="n"/>
      <c r="E259" s="232" t="n"/>
      <c r="F259" s="232" t="n"/>
      <c r="G259" s="232" t="n"/>
    </row>
    <row r="260">
      <c r="B260" s="232" t="n"/>
      <c r="C260" s="232" t="n"/>
      <c r="D260" s="232" t="n"/>
      <c r="E260" s="232" t="n"/>
      <c r="F260" s="232" t="n"/>
      <c r="G260" s="232" t="n"/>
    </row>
    <row r="261">
      <c r="B261" s="232" t="n"/>
      <c r="C261" s="232" t="n"/>
      <c r="D261" s="232" t="n"/>
      <c r="E261" s="232" t="n"/>
      <c r="F261" s="232" t="n"/>
      <c r="G261" s="232" t="n"/>
    </row>
    <row r="262">
      <c r="B262" s="232" t="n"/>
      <c r="C262" s="232" t="n"/>
      <c r="D262" s="232" t="n"/>
      <c r="E262" s="232" t="n"/>
      <c r="F262" s="232" t="n"/>
      <c r="G262" s="232" t="n"/>
    </row>
    <row r="263">
      <c r="B263" s="232" t="n"/>
      <c r="C263" s="232" t="n"/>
      <c r="D263" s="232" t="n"/>
      <c r="E263" s="232" t="n"/>
      <c r="F263" s="232" t="n"/>
      <c r="G263" s="232" t="n"/>
    </row>
    <row r="264">
      <c r="B264" s="232" t="n"/>
      <c r="C264" s="232" t="n"/>
      <c r="D264" s="232" t="n"/>
      <c r="E264" s="232" t="n"/>
      <c r="F264" s="232" t="n"/>
      <c r="G264" s="232" t="n"/>
    </row>
    <row r="265">
      <c r="B265" s="232" t="n"/>
      <c r="C265" s="232" t="n"/>
      <c r="D265" s="232" t="n"/>
      <c r="E265" s="232" t="n"/>
      <c r="F265" s="232" t="n"/>
      <c r="G265" s="232" t="n"/>
    </row>
    <row r="266">
      <c r="B266" s="232" t="n"/>
      <c r="C266" s="232" t="n"/>
      <c r="D266" s="232" t="n"/>
      <c r="E266" s="232" t="n"/>
      <c r="F266" s="232" t="n"/>
      <c r="G266" s="232" t="n"/>
    </row>
    <row r="267">
      <c r="B267" s="232" t="n"/>
      <c r="C267" s="232" t="n"/>
      <c r="D267" s="232" t="n"/>
      <c r="E267" s="232" t="n"/>
      <c r="F267" s="232" t="n"/>
      <c r="G267" s="232" t="n"/>
    </row>
    <row r="268">
      <c r="B268" s="232" t="n"/>
      <c r="C268" s="232" t="n"/>
      <c r="D268" s="232" t="n"/>
      <c r="E268" s="232" t="n"/>
      <c r="F268" s="232" t="n"/>
      <c r="G268" s="232" t="n"/>
    </row>
    <row r="269">
      <c r="B269" s="232" t="n"/>
      <c r="C269" s="232" t="n"/>
      <c r="D269" s="232" t="n"/>
      <c r="E269" s="232" t="n"/>
      <c r="F269" s="232" t="n"/>
      <c r="G269" s="232" t="n"/>
    </row>
    <row r="270">
      <c r="B270" s="232" t="n"/>
      <c r="C270" s="232" t="n"/>
      <c r="D270" s="232" t="n"/>
      <c r="E270" s="232" t="n"/>
      <c r="F270" s="232" t="n"/>
      <c r="G270" s="232" t="n"/>
    </row>
    <row r="271">
      <c r="B271" s="232" t="n"/>
      <c r="C271" s="232" t="n"/>
      <c r="D271" s="232" t="n"/>
      <c r="E271" s="232" t="n"/>
      <c r="F271" s="232" t="n"/>
      <c r="G271" s="232" t="n"/>
    </row>
    <row r="272">
      <c r="B272" s="232" t="n"/>
      <c r="C272" s="232" t="n"/>
      <c r="D272" s="232" t="n"/>
      <c r="E272" s="232" t="n"/>
      <c r="F272" s="232" t="n"/>
      <c r="G272" s="232" t="n"/>
    </row>
    <row r="273">
      <c r="B273" s="232" t="n"/>
      <c r="C273" s="232" t="n"/>
      <c r="D273" s="232" t="n"/>
      <c r="E273" s="232" t="n"/>
      <c r="F273" s="232" t="n"/>
      <c r="G273" s="232" t="n"/>
    </row>
    <row r="274">
      <c r="B274" s="232" t="n"/>
      <c r="C274" s="232" t="n"/>
      <c r="D274" s="232" t="n"/>
      <c r="E274" s="232" t="n"/>
      <c r="F274" s="232" t="n"/>
      <c r="G274" s="232" t="n"/>
    </row>
    <row r="275">
      <c r="B275" s="232" t="n"/>
      <c r="C275" s="232" t="n"/>
      <c r="D275" s="232" t="n"/>
      <c r="E275" s="232" t="n"/>
      <c r="F275" s="232" t="n"/>
      <c r="G275" s="232" t="n"/>
    </row>
    <row r="276">
      <c r="B276" s="232" t="n"/>
      <c r="C276" s="232" t="n"/>
      <c r="D276" s="232" t="n"/>
      <c r="E276" s="232" t="n"/>
      <c r="F276" s="232" t="n"/>
      <c r="G276" s="232" t="n"/>
    </row>
    <row r="277">
      <c r="B277" s="232" t="n"/>
      <c r="C277" s="232" t="n"/>
      <c r="D277" s="232" t="n"/>
      <c r="E277" s="232" t="n"/>
      <c r="F277" s="232" t="n"/>
      <c r="G277" s="232" t="n"/>
    </row>
    <row r="278">
      <c r="B278" s="232" t="n"/>
      <c r="C278" s="232" t="n"/>
      <c r="D278" s="232" t="n"/>
      <c r="E278" s="232" t="n"/>
      <c r="F278" s="232" t="n"/>
      <c r="G278" s="232" t="n"/>
    </row>
    <row r="279">
      <c r="B279" s="232" t="n"/>
      <c r="C279" s="232" t="n"/>
      <c r="D279" s="232" t="n"/>
      <c r="E279" s="232" t="n"/>
      <c r="F279" s="232" t="n"/>
      <c r="G279" s="232" t="n"/>
    </row>
    <row r="280">
      <c r="B280" s="232" t="n"/>
      <c r="C280" s="232" t="n"/>
      <c r="D280" s="232" t="n"/>
      <c r="E280" s="232" t="n"/>
      <c r="F280" s="232" t="n"/>
      <c r="G280" s="232" t="n"/>
    </row>
    <row r="281">
      <c r="B281" s="232" t="n"/>
      <c r="C281" s="232" t="n"/>
      <c r="D281" s="232" t="n"/>
      <c r="E281" s="232" t="n"/>
      <c r="F281" s="232" t="n"/>
      <c r="G281" s="232" t="n"/>
    </row>
    <row r="282">
      <c r="B282" s="232" t="n"/>
      <c r="C282" s="232" t="n"/>
      <c r="D282" s="232" t="n"/>
      <c r="E282" s="232" t="n"/>
      <c r="F282" s="232" t="n"/>
      <c r="G282" s="232" t="n"/>
    </row>
    <row r="283">
      <c r="B283" s="232" t="n"/>
      <c r="C283" s="232" t="n"/>
      <c r="D283" s="232" t="n"/>
      <c r="E283" s="232" t="n"/>
      <c r="F283" s="232" t="n"/>
      <c r="G283" s="232" t="n"/>
    </row>
    <row r="284">
      <c r="B284" s="232" t="n"/>
      <c r="C284" s="232" t="n"/>
      <c r="D284" s="232" t="n"/>
      <c r="E284" s="232" t="n"/>
      <c r="F284" s="232" t="n"/>
      <c r="G284" s="232" t="n"/>
    </row>
    <row r="285">
      <c r="B285" s="232" t="n"/>
      <c r="C285" s="232" t="n"/>
      <c r="D285" s="232" t="n"/>
      <c r="E285" s="232" t="n"/>
      <c r="F285" s="232" t="n"/>
      <c r="G285" s="232" t="n"/>
    </row>
    <row r="286">
      <c r="B286" s="232" t="n"/>
      <c r="C286" s="232" t="n"/>
      <c r="D286" s="232" t="n"/>
      <c r="E286" s="232" t="n"/>
      <c r="F286" s="232" t="n"/>
      <c r="G286" s="232" t="n"/>
    </row>
    <row r="287">
      <c r="B287" s="232" t="n"/>
      <c r="C287" s="232" t="n"/>
      <c r="D287" s="232" t="n"/>
      <c r="E287" s="232" t="n"/>
      <c r="F287" s="232" t="n"/>
      <c r="G287" s="232" t="n"/>
    </row>
    <row r="288">
      <c r="B288" s="232" t="n"/>
      <c r="C288" s="232" t="n"/>
      <c r="D288" s="232" t="n"/>
      <c r="E288" s="232" t="n"/>
      <c r="F288" s="232" t="n"/>
      <c r="G288" s="232" t="n"/>
    </row>
    <row r="289">
      <c r="B289" s="232" t="n"/>
      <c r="C289" s="232" t="n"/>
      <c r="D289" s="232" t="n"/>
      <c r="E289" s="232" t="n"/>
      <c r="F289" s="232" t="n"/>
      <c r="G289" s="232" t="n"/>
    </row>
    <row r="290">
      <c r="B290" s="232" t="n"/>
      <c r="C290" s="232" t="n"/>
      <c r="D290" s="232" t="n"/>
      <c r="E290" s="232" t="n"/>
      <c r="F290" s="232" t="n"/>
      <c r="G290" s="232" t="n"/>
    </row>
    <row r="291">
      <c r="B291" s="232" t="n"/>
      <c r="C291" s="232" t="n"/>
      <c r="D291" s="232" t="n"/>
      <c r="E291" s="232" t="n"/>
      <c r="F291" s="232" t="n"/>
      <c r="G291" s="232" t="n"/>
    </row>
    <row r="292">
      <c r="B292" s="232" t="n"/>
      <c r="C292" s="232" t="n"/>
      <c r="D292" s="232" t="n"/>
      <c r="E292" s="232" t="n"/>
      <c r="F292" s="232" t="n"/>
      <c r="G292" s="232" t="n"/>
    </row>
    <row r="293">
      <c r="B293" s="232" t="n"/>
      <c r="C293" s="232" t="n"/>
      <c r="D293" s="232" t="n"/>
      <c r="E293" s="232" t="n"/>
      <c r="F293" s="232" t="n"/>
      <c r="G293" s="232" t="n"/>
    </row>
    <row r="294">
      <c r="B294" s="232" t="n"/>
      <c r="C294" s="232" t="n"/>
      <c r="D294" s="232" t="n"/>
      <c r="E294" s="232" t="n"/>
      <c r="F294" s="232" t="n"/>
      <c r="G294" s="232" t="n"/>
    </row>
    <row r="295">
      <c r="B295" s="232" t="n"/>
      <c r="C295" s="232" t="n"/>
      <c r="D295" s="232" t="n"/>
      <c r="E295" s="232" t="n"/>
      <c r="F295" s="232" t="n"/>
      <c r="G295" s="232" t="n"/>
    </row>
    <row r="296">
      <c r="B296" s="232" t="n"/>
      <c r="C296" s="232" t="n"/>
      <c r="D296" s="232" t="n"/>
      <c r="E296" s="232" t="n"/>
      <c r="F296" s="232" t="n"/>
      <c r="G296" s="232" t="n"/>
    </row>
    <row r="297">
      <c r="B297" s="232" t="n"/>
      <c r="C297" s="232" t="n"/>
      <c r="D297" s="232" t="n"/>
      <c r="E297" s="232" t="n"/>
      <c r="F297" s="232" t="n"/>
      <c r="G297" s="232" t="n"/>
    </row>
    <row r="298">
      <c r="B298" s="232" t="n"/>
      <c r="C298" s="232" t="n"/>
      <c r="D298" s="232" t="n"/>
      <c r="E298" s="232" t="n"/>
      <c r="F298" s="232" t="n"/>
      <c r="G298" s="232" t="n"/>
    </row>
    <row r="299">
      <c r="B299" s="232" t="n"/>
      <c r="C299" s="232" t="n"/>
      <c r="D299" s="232" t="n"/>
      <c r="E299" s="232" t="n"/>
      <c r="F299" s="232" t="n"/>
      <c r="G299" s="232" t="n"/>
    </row>
    <row r="300">
      <c r="B300" s="232" t="n"/>
      <c r="C300" s="232" t="n"/>
      <c r="D300" s="232" t="n"/>
      <c r="E300" s="232" t="n"/>
      <c r="F300" s="232" t="n"/>
      <c r="G300" s="232" t="n"/>
    </row>
    <row r="301">
      <c r="B301" s="232" t="n"/>
      <c r="C301" s="232" t="n"/>
      <c r="D301" s="232" t="n"/>
      <c r="E301" s="232" t="n"/>
      <c r="F301" s="232" t="n"/>
      <c r="G301" s="232" t="n"/>
    </row>
    <row r="302">
      <c r="B302" s="232" t="n"/>
      <c r="C302" s="232" t="n"/>
      <c r="D302" s="232" t="n"/>
      <c r="E302" s="232" t="n"/>
      <c r="F302" s="232" t="n"/>
      <c r="G302" s="232" t="n"/>
    </row>
    <row r="303">
      <c r="B303" s="232" t="n"/>
      <c r="C303" s="232" t="n"/>
      <c r="D303" s="232" t="n"/>
      <c r="E303" s="232" t="n"/>
      <c r="F303" s="232" t="n"/>
      <c r="G303" s="232" t="n"/>
    </row>
    <row r="304">
      <c r="B304" s="232" t="n"/>
      <c r="C304" s="232" t="n"/>
      <c r="D304" s="232" t="n"/>
      <c r="E304" s="232" t="n"/>
      <c r="F304" s="232" t="n"/>
      <c r="G304" s="232" t="n"/>
    </row>
    <row r="305">
      <c r="B305" s="232" t="n"/>
      <c r="C305" s="232" t="n"/>
      <c r="D305" s="232" t="n"/>
      <c r="E305" s="232" t="n"/>
      <c r="F305" s="232" t="n"/>
      <c r="G305" s="232" t="n"/>
    </row>
    <row r="306">
      <c r="B306" s="232" t="n"/>
      <c r="C306" s="232" t="n"/>
      <c r="D306" s="232" t="n"/>
      <c r="E306" s="232" t="n"/>
      <c r="F306" s="232" t="n"/>
      <c r="G306" s="232" t="n"/>
    </row>
    <row r="307">
      <c r="B307" s="232" t="n"/>
      <c r="C307" s="232" t="n"/>
      <c r="D307" s="232" t="n"/>
      <c r="E307" s="232" t="n"/>
      <c r="F307" s="232" t="n"/>
      <c r="G307" s="232" t="n"/>
    </row>
    <row r="308">
      <c r="B308" s="232" t="n"/>
      <c r="C308" s="232" t="n"/>
      <c r="D308" s="232" t="n"/>
      <c r="E308" s="232" t="n"/>
      <c r="F308" s="232" t="n"/>
      <c r="G308" s="232" t="n"/>
    </row>
    <row r="309">
      <c r="B309" s="232" t="n"/>
      <c r="C309" s="232" t="n"/>
      <c r="D309" s="232" t="n"/>
      <c r="E309" s="232" t="n"/>
      <c r="F309" s="232" t="n"/>
      <c r="G309" s="232" t="n"/>
    </row>
    <row r="310">
      <c r="B310" s="232" t="n"/>
      <c r="C310" s="232" t="n"/>
      <c r="D310" s="232" t="n"/>
      <c r="E310" s="232" t="n"/>
      <c r="F310" s="232" t="n"/>
      <c r="G310" s="232" t="n"/>
    </row>
    <row r="311">
      <c r="B311" s="232" t="n"/>
      <c r="C311" s="232" t="n"/>
      <c r="D311" s="232" t="n"/>
      <c r="E311" s="232" t="n"/>
      <c r="F311" s="232" t="n"/>
      <c r="G311" s="232" t="n"/>
    </row>
    <row r="312">
      <c r="B312" s="232" t="n"/>
      <c r="C312" s="232" t="n"/>
      <c r="D312" s="232" t="n"/>
      <c r="E312" s="232" t="n"/>
      <c r="F312" s="232" t="n"/>
      <c r="G312" s="232" t="n"/>
    </row>
    <row r="313">
      <c r="B313" s="232" t="n"/>
      <c r="C313" s="232" t="n"/>
      <c r="D313" s="232" t="n"/>
      <c r="E313" s="232" t="n"/>
      <c r="F313" s="232" t="n"/>
      <c r="G313" s="232" t="n"/>
    </row>
    <row r="314">
      <c r="B314" s="232" t="n"/>
      <c r="C314" s="232" t="n"/>
      <c r="D314" s="232" t="n"/>
      <c r="E314" s="232" t="n"/>
      <c r="F314" s="232" t="n"/>
      <c r="G314" s="232" t="n"/>
    </row>
    <row r="315">
      <c r="B315" s="232" t="n"/>
      <c r="C315" s="232" t="n"/>
      <c r="D315" s="232" t="n"/>
      <c r="E315" s="232" t="n"/>
      <c r="F315" s="232" t="n"/>
      <c r="G315" s="232" t="n"/>
    </row>
    <row r="316">
      <c r="B316" s="232" t="n"/>
      <c r="C316" s="232" t="n"/>
      <c r="D316" s="232" t="n"/>
      <c r="E316" s="232" t="n"/>
      <c r="F316" s="232" t="n"/>
      <c r="G316" s="232" t="n"/>
    </row>
    <row r="317">
      <c r="B317" s="232" t="n"/>
      <c r="C317" s="232" t="n"/>
      <c r="D317" s="232" t="n"/>
      <c r="E317" s="232" t="n"/>
      <c r="F317" s="232" t="n"/>
      <c r="G317" s="232" t="n"/>
    </row>
    <row r="318">
      <c r="B318" s="232" t="n"/>
      <c r="C318" s="232" t="n"/>
      <c r="D318" s="232" t="n"/>
      <c r="E318" s="232" t="n"/>
      <c r="F318" s="232" t="n"/>
      <c r="G318" s="232" t="n"/>
    </row>
    <row r="319">
      <c r="B319" s="232" t="n"/>
      <c r="C319" s="232" t="n"/>
      <c r="D319" s="232" t="n"/>
      <c r="E319" s="232" t="n"/>
      <c r="F319" s="232" t="n"/>
      <c r="G319" s="232" t="n"/>
    </row>
    <row r="320">
      <c r="B320" s="232" t="n"/>
      <c r="C320" s="232" t="n"/>
      <c r="D320" s="232" t="n"/>
      <c r="E320" s="232" t="n"/>
      <c r="F320" s="232" t="n"/>
      <c r="G320" s="232" t="n"/>
    </row>
    <row r="321">
      <c r="B321" s="232" t="n"/>
      <c r="C321" s="232" t="n"/>
      <c r="D321" s="232" t="n"/>
      <c r="E321" s="232" t="n"/>
      <c r="F321" s="232" t="n"/>
      <c r="G321" s="232" t="n"/>
    </row>
    <row r="322">
      <c r="B322" s="232" t="n"/>
      <c r="C322" s="232" t="n"/>
      <c r="D322" s="232" t="n"/>
      <c r="E322" s="232" t="n"/>
      <c r="F322" s="232" t="n"/>
      <c r="G322" s="232" t="n"/>
    </row>
    <row r="323">
      <c r="B323" s="232" t="n"/>
      <c r="C323" s="232" t="n"/>
      <c r="D323" s="232" t="n"/>
      <c r="E323" s="232" t="n"/>
      <c r="F323" s="232" t="n"/>
      <c r="G323" s="232" t="n"/>
    </row>
    <row r="324">
      <c r="B324" s="232" t="n"/>
      <c r="C324" s="232" t="n"/>
      <c r="D324" s="232" t="n"/>
      <c r="E324" s="232" t="n"/>
      <c r="F324" s="232" t="n"/>
      <c r="G324" s="232" t="n"/>
    </row>
    <row r="325">
      <c r="B325" s="232" t="n"/>
      <c r="C325" s="232" t="n"/>
      <c r="D325" s="232" t="n"/>
      <c r="E325" s="232" t="n"/>
      <c r="F325" s="232" t="n"/>
      <c r="G325" s="232" t="n"/>
    </row>
    <row r="326">
      <c r="B326" s="232" t="n"/>
      <c r="C326" s="232" t="n"/>
      <c r="D326" s="232" t="n"/>
      <c r="E326" s="232" t="n"/>
      <c r="F326" s="232" t="n"/>
      <c r="G326" s="232" t="n"/>
    </row>
    <row r="327">
      <c r="B327" s="232" t="n"/>
      <c r="C327" s="232" t="n"/>
      <c r="D327" s="232" t="n"/>
      <c r="E327" s="232" t="n"/>
      <c r="F327" s="232" t="n"/>
      <c r="G327" s="232" t="n"/>
    </row>
    <row r="328">
      <c r="B328" s="232" t="n"/>
      <c r="C328" s="232" t="n"/>
      <c r="D328" s="232" t="n"/>
      <c r="E328" s="232" t="n"/>
      <c r="F328" s="232" t="n"/>
      <c r="G328" s="232" t="n"/>
    </row>
    <row r="329">
      <c r="B329" s="232" t="n"/>
      <c r="C329" s="232" t="n"/>
      <c r="D329" s="232" t="n"/>
      <c r="E329" s="232" t="n"/>
      <c r="F329" s="232" t="n"/>
      <c r="G329" s="232" t="n"/>
    </row>
    <row r="330">
      <c r="B330" s="232" t="n"/>
      <c r="C330" s="232" t="n"/>
      <c r="D330" s="232" t="n"/>
      <c r="E330" s="232" t="n"/>
      <c r="F330" s="232" t="n"/>
      <c r="G330" s="232" t="n"/>
    </row>
    <row r="331">
      <c r="B331" s="232" t="n"/>
      <c r="C331" s="232" t="n"/>
      <c r="D331" s="232" t="n"/>
      <c r="E331" s="232" t="n"/>
      <c r="F331" s="232" t="n"/>
      <c r="G331" s="232" t="n"/>
    </row>
    <row r="332">
      <c r="B332" s="232" t="n"/>
      <c r="C332" s="232" t="n"/>
      <c r="D332" s="232" t="n"/>
      <c r="E332" s="232" t="n"/>
      <c r="F332" s="232" t="n"/>
      <c r="G332" s="232" t="n"/>
    </row>
    <row r="333">
      <c r="B333" s="232" t="n"/>
      <c r="C333" s="232" t="n"/>
      <c r="D333" s="232" t="n"/>
      <c r="E333" s="232" t="n"/>
      <c r="F333" s="232" t="n"/>
      <c r="G333" s="232" t="n"/>
    </row>
    <row r="334">
      <c r="B334" s="232" t="n"/>
      <c r="C334" s="232" t="n"/>
      <c r="D334" s="232" t="n"/>
      <c r="E334" s="232" t="n"/>
      <c r="F334" s="232" t="n"/>
      <c r="G334" s="232" t="n"/>
    </row>
    <row r="335">
      <c r="B335" s="232" t="n"/>
      <c r="C335" s="232" t="n"/>
      <c r="D335" s="232" t="n"/>
      <c r="E335" s="232" t="n"/>
      <c r="F335" s="232" t="n"/>
      <c r="G335" s="232" t="n"/>
    </row>
    <row r="336">
      <c r="B336" s="232" t="n"/>
      <c r="C336" s="232" t="n"/>
      <c r="D336" s="232" t="n"/>
      <c r="E336" s="232" t="n"/>
      <c r="F336" s="232" t="n"/>
      <c r="G336" s="232" t="n"/>
    </row>
    <row r="337">
      <c r="B337" s="232" t="n"/>
      <c r="C337" s="232" t="n"/>
      <c r="D337" s="232" t="n"/>
      <c r="E337" s="232" t="n"/>
      <c r="F337" s="232" t="n"/>
      <c r="G337" s="232" t="n"/>
    </row>
    <row r="338">
      <c r="B338" s="232" t="n"/>
      <c r="C338" s="232" t="n"/>
      <c r="D338" s="232" t="n"/>
      <c r="E338" s="232" t="n"/>
      <c r="F338" s="232" t="n"/>
      <c r="G338" s="232" t="n"/>
    </row>
    <row r="339">
      <c r="B339" s="232" t="n"/>
      <c r="C339" s="232" t="n"/>
      <c r="D339" s="232" t="n"/>
      <c r="E339" s="232" t="n"/>
      <c r="F339" s="232" t="n"/>
      <c r="G339" s="232" t="n"/>
    </row>
    <row r="340">
      <c r="B340" s="232" t="n"/>
      <c r="C340" s="232" t="n"/>
      <c r="D340" s="232" t="n"/>
      <c r="E340" s="232" t="n"/>
      <c r="F340" s="232" t="n"/>
      <c r="G340" s="232" t="n"/>
    </row>
    <row r="341">
      <c r="B341" s="232" t="n"/>
      <c r="C341" s="232" t="n"/>
      <c r="D341" s="232" t="n"/>
      <c r="E341" s="232" t="n"/>
      <c r="F341" s="232" t="n"/>
      <c r="G341" s="232" t="n"/>
    </row>
    <row r="342">
      <c r="B342" s="232" t="n"/>
      <c r="C342" s="232" t="n"/>
      <c r="D342" s="232" t="n"/>
      <c r="E342" s="232" t="n"/>
      <c r="F342" s="232" t="n"/>
      <c r="G342" s="232" t="n"/>
    </row>
    <row r="343">
      <c r="B343" s="232" t="n"/>
      <c r="C343" s="232" t="n"/>
      <c r="D343" s="232" t="n"/>
      <c r="E343" s="232" t="n"/>
      <c r="F343" s="232" t="n"/>
      <c r="G343" s="232" t="n"/>
    </row>
    <row r="344">
      <c r="B344" s="232" t="n"/>
      <c r="C344" s="232" t="n"/>
      <c r="D344" s="232" t="n"/>
      <c r="E344" s="232" t="n"/>
      <c r="F344" s="232" t="n"/>
      <c r="G344" s="232" t="n"/>
    </row>
    <row r="345">
      <c r="B345" s="232" t="n"/>
      <c r="C345" s="232" t="n"/>
      <c r="D345" s="232" t="n"/>
      <c r="E345" s="232" t="n"/>
      <c r="F345" s="232" t="n"/>
      <c r="G345" s="232" t="n"/>
    </row>
    <row r="346">
      <c r="B346" s="232" t="n"/>
      <c r="C346" s="232" t="n"/>
      <c r="D346" s="232" t="n"/>
      <c r="E346" s="232" t="n"/>
      <c r="F346" s="232" t="n"/>
      <c r="G346" s="232" t="n"/>
    </row>
    <row r="347">
      <c r="B347" s="232" t="n"/>
      <c r="C347" s="232" t="n"/>
      <c r="D347" s="232" t="n"/>
      <c r="E347" s="232" t="n"/>
      <c r="F347" s="232" t="n"/>
      <c r="G347" s="232" t="n"/>
    </row>
    <row r="348">
      <c r="B348" s="232" t="n"/>
      <c r="C348" s="232" t="n"/>
      <c r="D348" s="232" t="n"/>
      <c r="E348" s="232" t="n"/>
      <c r="F348" s="232" t="n"/>
      <c r="G348" s="232" t="n"/>
    </row>
    <row r="349">
      <c r="B349" s="232" t="n"/>
      <c r="C349" s="232" t="n"/>
      <c r="D349" s="232" t="n"/>
      <c r="E349" s="232" t="n"/>
      <c r="F349" s="232" t="n"/>
      <c r="G349" s="232" t="n"/>
    </row>
    <row r="350">
      <c r="B350" s="232" t="n"/>
      <c r="C350" s="232" t="n"/>
      <c r="D350" s="232" t="n"/>
      <c r="E350" s="232" t="n"/>
      <c r="F350" s="232" t="n"/>
      <c r="G350" s="232" t="n"/>
    </row>
    <row r="351">
      <c r="B351" s="232" t="n"/>
      <c r="C351" s="232" t="n"/>
      <c r="D351" s="232" t="n"/>
      <c r="E351" s="232" t="n"/>
      <c r="F351" s="232" t="n"/>
      <c r="G351" s="232" t="n"/>
    </row>
    <row r="352">
      <c r="B352" s="232" t="n"/>
      <c r="C352" s="232" t="n"/>
      <c r="D352" s="232" t="n"/>
      <c r="E352" s="232" t="n"/>
      <c r="F352" s="232" t="n"/>
      <c r="G352" s="232" t="n"/>
    </row>
    <row r="353">
      <c r="B353" s="232" t="n"/>
      <c r="C353" s="232" t="n"/>
      <c r="D353" s="232" t="n"/>
      <c r="E353" s="232" t="n"/>
      <c r="F353" s="232" t="n"/>
      <c r="G353" s="232" t="n"/>
    </row>
    <row r="354">
      <c r="B354" s="232" t="n"/>
      <c r="C354" s="232" t="n"/>
      <c r="D354" s="232" t="n"/>
      <c r="E354" s="232" t="n"/>
      <c r="F354" s="232" t="n"/>
      <c r="G354" s="232" t="n"/>
    </row>
    <row r="355">
      <c r="B355" s="232" t="n"/>
      <c r="C355" s="232" t="n"/>
      <c r="D355" s="232" t="n"/>
      <c r="E355" s="232" t="n"/>
      <c r="F355" s="232" t="n"/>
      <c r="G355" s="232" t="n"/>
    </row>
    <row r="356">
      <c r="B356" s="232" t="n"/>
      <c r="C356" s="232" t="n"/>
      <c r="D356" s="232" t="n"/>
      <c r="E356" s="232" t="n"/>
      <c r="F356" s="232" t="n"/>
      <c r="G356" s="232" t="n"/>
    </row>
    <row r="357">
      <c r="B357" s="232" t="n"/>
      <c r="C357" s="232" t="n"/>
      <c r="D357" s="232" t="n"/>
      <c r="E357" s="232" t="n"/>
      <c r="F357" s="232" t="n"/>
      <c r="G357" s="232" t="n"/>
    </row>
    <row r="358">
      <c r="B358" s="232" t="n"/>
      <c r="C358" s="232" t="n"/>
      <c r="D358" s="232" t="n"/>
      <c r="E358" s="232" t="n"/>
      <c r="F358" s="232" t="n"/>
      <c r="G358" s="232" t="n"/>
    </row>
    <row r="359">
      <c r="B359" s="232" t="n"/>
      <c r="C359" s="232" t="n"/>
      <c r="D359" s="232" t="n"/>
      <c r="E359" s="232" t="n"/>
      <c r="F359" s="232" t="n"/>
      <c r="G359" s="232" t="n"/>
    </row>
    <row r="360">
      <c r="B360" s="232" t="n"/>
      <c r="C360" s="232" t="n"/>
      <c r="D360" s="232" t="n"/>
      <c r="E360" s="232" t="n"/>
      <c r="F360" s="232" t="n"/>
      <c r="G360" s="232" t="n"/>
    </row>
    <row r="361">
      <c r="B361" s="232" t="n"/>
      <c r="C361" s="232" t="n"/>
      <c r="D361" s="232" t="n"/>
      <c r="E361" s="232" t="n"/>
      <c r="F361" s="232" t="n"/>
      <c r="G361" s="232" t="n"/>
    </row>
    <row r="362">
      <c r="B362" s="232" t="n"/>
      <c r="C362" s="232" t="n"/>
      <c r="D362" s="232" t="n"/>
      <c r="E362" s="232" t="n"/>
      <c r="F362" s="232" t="n"/>
      <c r="G362" s="232" t="n"/>
    </row>
    <row r="363">
      <c r="B363" s="232" t="n"/>
      <c r="C363" s="232" t="n"/>
      <c r="D363" s="232" t="n"/>
      <c r="E363" s="232" t="n"/>
      <c r="F363" s="232" t="n"/>
      <c r="G363" s="232" t="n"/>
    </row>
    <row r="364">
      <c r="B364" s="232" t="n"/>
      <c r="C364" s="232" t="n"/>
      <c r="D364" s="232" t="n"/>
      <c r="E364" s="232" t="n"/>
      <c r="F364" s="232" t="n"/>
      <c r="G364" s="232" t="n"/>
    </row>
    <row r="365">
      <c r="B365" s="232" t="n"/>
      <c r="C365" s="232" t="n"/>
      <c r="D365" s="232" t="n"/>
      <c r="E365" s="232" t="n"/>
      <c r="F365" s="232" t="n"/>
      <c r="G365" s="232" t="n"/>
    </row>
    <row r="366">
      <c r="B366" s="232" t="n"/>
      <c r="C366" s="232" t="n"/>
      <c r="D366" s="232" t="n"/>
      <c r="E366" s="232" t="n"/>
      <c r="F366" s="232" t="n"/>
      <c r="G366" s="232" t="n"/>
    </row>
    <row r="367">
      <c r="B367" s="232" t="n"/>
      <c r="C367" s="232" t="n"/>
      <c r="D367" s="232" t="n"/>
      <c r="E367" s="232" t="n"/>
      <c r="F367" s="232" t="n"/>
      <c r="G367" s="232" t="n"/>
    </row>
    <row r="368">
      <c r="B368" s="232" t="n"/>
      <c r="C368" s="232" t="n"/>
      <c r="D368" s="232" t="n"/>
      <c r="E368" s="232" t="n"/>
      <c r="F368" s="232" t="n"/>
      <c r="G368" s="232" t="n"/>
    </row>
    <row r="369">
      <c r="B369" s="232" t="n"/>
      <c r="C369" s="232" t="n"/>
      <c r="D369" s="232" t="n"/>
      <c r="E369" s="232" t="n"/>
      <c r="F369" s="232" t="n"/>
      <c r="G369" s="232" t="n"/>
    </row>
    <row r="370">
      <c r="B370" s="232" t="n"/>
      <c r="C370" s="232" t="n"/>
      <c r="D370" s="232" t="n"/>
      <c r="E370" s="232" t="n"/>
      <c r="F370" s="232" t="n"/>
      <c r="G370" s="232" t="n"/>
    </row>
    <row r="371">
      <c r="B371" s="232" t="n"/>
      <c r="C371" s="232" t="n"/>
      <c r="D371" s="232" t="n"/>
      <c r="E371" s="232" t="n"/>
      <c r="F371" s="232" t="n"/>
      <c r="G371" s="232" t="n"/>
    </row>
    <row r="372">
      <c r="B372" s="232" t="n"/>
      <c r="C372" s="232" t="n"/>
      <c r="D372" s="232" t="n"/>
      <c r="E372" s="232" t="n"/>
      <c r="F372" s="232" t="n"/>
      <c r="G372" s="232" t="n"/>
    </row>
    <row r="373">
      <c r="B373" s="232" t="n"/>
      <c r="C373" s="232" t="n"/>
      <c r="D373" s="232" t="n"/>
      <c r="E373" s="232" t="n"/>
      <c r="F373" s="232" t="n"/>
      <c r="G373" s="232" t="n"/>
    </row>
    <row r="374">
      <c r="B374" s="232" t="n"/>
      <c r="C374" s="232" t="n"/>
      <c r="D374" s="232" t="n"/>
      <c r="E374" s="232" t="n"/>
      <c r="F374" s="232" t="n"/>
      <c r="G374" s="232" t="n"/>
    </row>
    <row r="375">
      <c r="B375" s="232" t="n"/>
      <c r="C375" s="232" t="n"/>
      <c r="D375" s="232" t="n"/>
      <c r="E375" s="232" t="n"/>
      <c r="F375" s="232" t="n"/>
      <c r="G375" s="232" t="n"/>
    </row>
    <row r="376">
      <c r="B376" s="232" t="n"/>
      <c r="C376" s="232" t="n"/>
      <c r="D376" s="232" t="n"/>
      <c r="E376" s="232" t="n"/>
      <c r="F376" s="232" t="n"/>
      <c r="G376" s="232" t="n"/>
    </row>
    <row r="377">
      <c r="B377" s="232" t="n"/>
      <c r="C377" s="232" t="n"/>
      <c r="D377" s="232" t="n"/>
      <c r="E377" s="232" t="n"/>
      <c r="F377" s="232" t="n"/>
      <c r="G377" s="232" t="n"/>
    </row>
    <row r="378">
      <c r="B378" s="232" t="n"/>
      <c r="C378" s="232" t="n"/>
      <c r="D378" s="232" t="n"/>
      <c r="E378" s="232" t="n"/>
      <c r="F378" s="232" t="n"/>
      <c r="G378" s="232" t="n"/>
    </row>
    <row r="379">
      <c r="B379" s="232" t="n"/>
      <c r="C379" s="232" t="n"/>
      <c r="D379" s="232" t="n"/>
      <c r="E379" s="232" t="n"/>
      <c r="F379" s="232" t="n"/>
      <c r="G379" s="232" t="n"/>
    </row>
    <row r="380">
      <c r="B380" s="232" t="n"/>
      <c r="C380" s="232" t="n"/>
      <c r="D380" s="232" t="n"/>
      <c r="E380" s="232" t="n"/>
      <c r="F380" s="232" t="n"/>
      <c r="G380" s="232" t="n"/>
    </row>
    <row r="381">
      <c r="B381" s="232" t="n"/>
      <c r="C381" s="232" t="n"/>
      <c r="D381" s="232" t="n"/>
      <c r="E381" s="232" t="n"/>
      <c r="F381" s="232" t="n"/>
      <c r="G381" s="232" t="n"/>
    </row>
    <row r="382">
      <c r="B382" s="232" t="n"/>
      <c r="C382" s="232" t="n"/>
      <c r="D382" s="232" t="n"/>
      <c r="E382" s="232" t="n"/>
      <c r="F382" s="232" t="n"/>
      <c r="G382" s="232" t="n"/>
    </row>
    <row r="383">
      <c r="B383" s="232" t="n"/>
      <c r="C383" s="232" t="n"/>
      <c r="D383" s="232" t="n"/>
      <c r="E383" s="232" t="n"/>
      <c r="F383" s="232" t="n"/>
      <c r="G383" s="232" t="n"/>
    </row>
    <row r="384">
      <c r="B384" s="232" t="n"/>
      <c r="C384" s="232" t="n"/>
      <c r="D384" s="232" t="n"/>
      <c r="E384" s="232" t="n"/>
      <c r="F384" s="232" t="n"/>
      <c r="G384" s="232" t="n"/>
    </row>
    <row r="385">
      <c r="B385" s="232" t="n"/>
      <c r="C385" s="232" t="n"/>
      <c r="D385" s="232" t="n"/>
      <c r="E385" s="232" t="n"/>
      <c r="F385" s="232" t="n"/>
      <c r="G385" s="232" t="n"/>
    </row>
    <row r="386">
      <c r="B386" s="232" t="n"/>
      <c r="C386" s="232" t="n"/>
      <c r="D386" s="232" t="n"/>
      <c r="E386" s="232" t="n"/>
      <c r="F386" s="232" t="n"/>
      <c r="G386" s="232" t="n"/>
    </row>
    <row r="387">
      <c r="B387" s="232" t="n"/>
      <c r="C387" s="232" t="n"/>
      <c r="D387" s="232" t="n"/>
      <c r="E387" s="232" t="n"/>
      <c r="F387" s="232" t="n"/>
      <c r="G387" s="232" t="n"/>
    </row>
    <row r="388">
      <c r="B388" s="232" t="n"/>
      <c r="C388" s="232" t="n"/>
      <c r="D388" s="232" t="n"/>
      <c r="E388" s="232" t="n"/>
      <c r="F388" s="232" t="n"/>
      <c r="G388" s="232" t="n"/>
    </row>
    <row r="389">
      <c r="B389" s="232" t="n"/>
      <c r="C389" s="232" t="n"/>
      <c r="D389" s="232" t="n"/>
      <c r="E389" s="232" t="n"/>
      <c r="F389" s="232" t="n"/>
      <c r="G389" s="232" t="n"/>
    </row>
    <row r="390">
      <c r="B390" s="232" t="n"/>
      <c r="C390" s="232" t="n"/>
      <c r="D390" s="232" t="n"/>
      <c r="E390" s="232" t="n"/>
      <c r="F390" s="232" t="n"/>
      <c r="G390" s="232" t="n"/>
    </row>
    <row r="391">
      <c r="B391" s="232" t="n"/>
      <c r="C391" s="232" t="n"/>
      <c r="D391" s="232" t="n"/>
      <c r="E391" s="232" t="n"/>
      <c r="F391" s="232" t="n"/>
      <c r="G391" s="232" t="n"/>
    </row>
    <row r="392">
      <c r="B392" s="232" t="n"/>
      <c r="C392" s="232" t="n"/>
      <c r="D392" s="232" t="n"/>
      <c r="E392" s="232" t="n"/>
      <c r="F392" s="232" t="n"/>
      <c r="G392" s="232" t="n"/>
    </row>
    <row r="393">
      <c r="B393" s="232" t="n"/>
      <c r="C393" s="232" t="n"/>
      <c r="D393" s="232" t="n"/>
      <c r="E393" s="232" t="n"/>
      <c r="F393" s="232" t="n"/>
      <c r="G393" s="232" t="n"/>
    </row>
    <row r="394">
      <c r="B394" s="232" t="n"/>
      <c r="C394" s="232" t="n"/>
      <c r="D394" s="232" t="n"/>
      <c r="E394" s="232" t="n"/>
      <c r="F394" s="232" t="n"/>
      <c r="G394" s="232" t="n"/>
    </row>
    <row r="395">
      <c r="B395" s="232" t="n"/>
      <c r="C395" s="232" t="n"/>
      <c r="D395" s="232" t="n"/>
      <c r="E395" s="232" t="n"/>
      <c r="F395" s="232" t="n"/>
      <c r="G395" s="232" t="n"/>
    </row>
    <row r="396">
      <c r="B396" s="232" t="n"/>
      <c r="C396" s="232" t="n"/>
      <c r="D396" s="232" t="n"/>
      <c r="E396" s="232" t="n"/>
      <c r="F396" s="232" t="n"/>
      <c r="G396" s="232" t="n"/>
    </row>
    <row r="397">
      <c r="B397" s="232" t="n"/>
      <c r="C397" s="232" t="n"/>
      <c r="D397" s="232" t="n"/>
      <c r="E397" s="232" t="n"/>
      <c r="F397" s="232" t="n"/>
      <c r="G397" s="232" t="n"/>
    </row>
    <row r="398">
      <c r="B398" s="232" t="n"/>
      <c r="C398" s="232" t="n"/>
      <c r="D398" s="232" t="n"/>
      <c r="E398" s="232" t="n"/>
      <c r="F398" s="232" t="n"/>
      <c r="G398" s="232" t="n"/>
    </row>
    <row r="399">
      <c r="B399" s="232" t="n"/>
      <c r="C399" s="232" t="n"/>
      <c r="D399" s="232" t="n"/>
      <c r="E399" s="232" t="n"/>
      <c r="F399" s="232" t="n"/>
      <c r="G399" s="232" t="n"/>
    </row>
    <row r="400">
      <c r="B400" s="232" t="n"/>
      <c r="C400" s="232" t="n"/>
      <c r="D400" s="232" t="n"/>
      <c r="E400" s="232" t="n"/>
      <c r="F400" s="232" t="n"/>
      <c r="G400" s="232" t="n"/>
    </row>
    <row r="401">
      <c r="B401" s="232" t="n"/>
      <c r="C401" s="232" t="n"/>
      <c r="D401" s="232" t="n"/>
      <c r="E401" s="232" t="n"/>
      <c r="F401" s="232" t="n"/>
      <c r="G401" s="232" t="n"/>
    </row>
    <row r="402">
      <c r="B402" s="232" t="n"/>
      <c r="C402" s="232" t="n"/>
      <c r="D402" s="232" t="n"/>
      <c r="E402" s="232" t="n"/>
      <c r="F402" s="232" t="n"/>
      <c r="G402" s="232" t="n"/>
    </row>
    <row r="403">
      <c r="B403" s="232" t="n"/>
      <c r="C403" s="232" t="n"/>
      <c r="D403" s="232" t="n"/>
      <c r="E403" s="232" t="n"/>
      <c r="F403" s="232" t="n"/>
      <c r="G403" s="232" t="n"/>
    </row>
    <row r="404">
      <c r="B404" s="232" t="n"/>
      <c r="C404" s="232" t="n"/>
      <c r="D404" s="232" t="n"/>
      <c r="E404" s="232" t="n"/>
      <c r="F404" s="232" t="n"/>
      <c r="G404" s="232" t="n"/>
    </row>
    <row r="405">
      <c r="B405" s="232" t="n"/>
      <c r="C405" s="232" t="n"/>
      <c r="D405" s="232" t="n"/>
      <c r="E405" s="232" t="n"/>
      <c r="F405" s="232" t="n"/>
      <c r="G405" s="232" t="n"/>
    </row>
    <row r="406">
      <c r="B406" s="232" t="n"/>
      <c r="C406" s="232" t="n"/>
      <c r="D406" s="232" t="n"/>
      <c r="E406" s="232" t="n"/>
      <c r="F406" s="232" t="n"/>
      <c r="G406" s="232" t="n"/>
    </row>
    <row r="407">
      <c r="B407" s="232" t="n"/>
      <c r="C407" s="232" t="n"/>
      <c r="D407" s="232" t="n"/>
      <c r="E407" s="232" t="n"/>
      <c r="F407" s="232" t="n"/>
      <c r="G407" s="232" t="n"/>
    </row>
    <row r="408">
      <c r="B408" s="232" t="n"/>
      <c r="C408" s="232" t="n"/>
      <c r="D408" s="232" t="n"/>
      <c r="E408" s="232" t="n"/>
      <c r="F408" s="232" t="n"/>
      <c r="G408" s="232" t="n"/>
    </row>
    <row r="409">
      <c r="B409" s="232" t="n"/>
      <c r="C409" s="232" t="n"/>
      <c r="D409" s="232" t="n"/>
      <c r="E409" s="232" t="n"/>
      <c r="F409" s="232" t="n"/>
      <c r="G409" s="232" t="n"/>
    </row>
    <row r="410">
      <c r="B410" s="232" t="n"/>
      <c r="C410" s="232" t="n"/>
      <c r="D410" s="232" t="n"/>
      <c r="E410" s="232" t="n"/>
      <c r="F410" s="232" t="n"/>
      <c r="G410" s="232" t="n"/>
    </row>
    <row r="411">
      <c r="B411" s="232" t="n"/>
      <c r="C411" s="232" t="n"/>
      <c r="D411" s="232" t="n"/>
      <c r="E411" s="232" t="n"/>
      <c r="F411" s="232" t="n"/>
      <c r="G411" s="232" t="n"/>
    </row>
    <row r="412">
      <c r="B412" s="232" t="n"/>
      <c r="C412" s="232" t="n"/>
      <c r="D412" s="232" t="n"/>
      <c r="E412" s="232" t="n"/>
      <c r="F412" s="232" t="n"/>
      <c r="G412" s="232" t="n"/>
    </row>
    <row r="413">
      <c r="B413" s="232" t="n"/>
      <c r="C413" s="232" t="n"/>
      <c r="D413" s="232" t="n"/>
      <c r="E413" s="232" t="n"/>
      <c r="F413" s="232" t="n"/>
      <c r="G413" s="232" t="n"/>
    </row>
    <row r="414">
      <c r="B414" s="232" t="n"/>
      <c r="C414" s="232" t="n"/>
      <c r="D414" s="232" t="n"/>
      <c r="E414" s="232" t="n"/>
      <c r="F414" s="232" t="n"/>
      <c r="G414" s="232" t="n"/>
    </row>
    <row r="415">
      <c r="B415" s="232" t="n"/>
      <c r="C415" s="232" t="n"/>
      <c r="D415" s="232" t="n"/>
      <c r="E415" s="232" t="n"/>
      <c r="F415" s="232" t="n"/>
      <c r="G415" s="232" t="n"/>
    </row>
    <row r="416">
      <c r="B416" s="232" t="n"/>
      <c r="C416" s="232" t="n"/>
      <c r="D416" s="232" t="n"/>
      <c r="E416" s="232" t="n"/>
      <c r="F416" s="232" t="n"/>
      <c r="G416" s="232" t="n"/>
    </row>
    <row r="417">
      <c r="B417" s="232" t="n"/>
      <c r="C417" s="232" t="n"/>
      <c r="D417" s="232" t="n"/>
      <c r="E417" s="232" t="n"/>
      <c r="F417" s="232" t="n"/>
      <c r="G417" s="232" t="n"/>
    </row>
    <row r="418">
      <c r="B418" s="232" t="n"/>
      <c r="C418" s="232" t="n"/>
      <c r="D418" s="232" t="n"/>
      <c r="E418" s="232" t="n"/>
      <c r="F418" s="232" t="n"/>
      <c r="G418" s="232" t="n"/>
    </row>
    <row r="419">
      <c r="B419" s="232" t="n"/>
      <c r="C419" s="232" t="n"/>
      <c r="D419" s="232" t="n"/>
      <c r="E419" s="232" t="n"/>
      <c r="F419" s="232" t="n"/>
      <c r="G419" s="232" t="n"/>
    </row>
    <row r="420">
      <c r="B420" s="232" t="n"/>
      <c r="C420" s="232" t="n"/>
      <c r="D420" s="232" t="n"/>
      <c r="E420" s="232" t="n"/>
      <c r="F420" s="232" t="n"/>
      <c r="G420" s="232" t="n"/>
    </row>
    <row r="421">
      <c r="B421" s="232" t="n"/>
      <c r="C421" s="232" t="n"/>
      <c r="D421" s="232" t="n"/>
      <c r="E421" s="232" t="n"/>
      <c r="F421" s="232" t="n"/>
      <c r="G421" s="232" t="n"/>
    </row>
    <row r="422">
      <c r="B422" s="232" t="n"/>
      <c r="C422" s="232" t="n"/>
      <c r="D422" s="232" t="n"/>
      <c r="E422" s="232" t="n"/>
      <c r="F422" s="232" t="n"/>
      <c r="G422" s="232" t="n"/>
    </row>
    <row r="423">
      <c r="B423" s="232" t="n"/>
      <c r="C423" s="232" t="n"/>
      <c r="D423" s="232" t="n"/>
      <c r="E423" s="232" t="n"/>
      <c r="F423" s="232" t="n"/>
      <c r="G423" s="232" t="n"/>
    </row>
    <row r="424">
      <c r="B424" s="232" t="n"/>
      <c r="C424" s="232" t="n"/>
      <c r="D424" s="232" t="n"/>
      <c r="E424" s="232" t="n"/>
      <c r="F424" s="232" t="n"/>
      <c r="G424" s="232" t="n"/>
    </row>
    <row r="425">
      <c r="B425" s="232" t="n"/>
      <c r="C425" s="232" t="n"/>
      <c r="D425" s="232" t="n"/>
      <c r="E425" s="232" t="n"/>
      <c r="F425" s="232" t="n"/>
      <c r="G425" s="232" t="n"/>
    </row>
    <row r="426">
      <c r="B426" s="232" t="n"/>
      <c r="C426" s="232" t="n"/>
      <c r="D426" s="232" t="n"/>
      <c r="E426" s="232" t="n"/>
      <c r="F426" s="232" t="n"/>
      <c r="G426" s="232" t="n"/>
    </row>
    <row r="427">
      <c r="B427" s="232" t="n"/>
      <c r="C427" s="232" t="n"/>
      <c r="D427" s="232" t="n"/>
      <c r="E427" s="232" t="n"/>
      <c r="F427" s="232" t="n"/>
      <c r="G427" s="232" t="n"/>
    </row>
    <row r="428">
      <c r="B428" s="232" t="n"/>
      <c r="C428" s="232" t="n"/>
      <c r="D428" s="232" t="n"/>
      <c r="E428" s="232" t="n"/>
      <c r="F428" s="232" t="n"/>
      <c r="G428" s="232" t="n"/>
    </row>
    <row r="429">
      <c r="B429" s="232" t="n"/>
      <c r="C429" s="232" t="n"/>
      <c r="D429" s="232" t="n"/>
      <c r="E429" s="232" t="n"/>
      <c r="F429" s="232" t="n"/>
      <c r="G429" s="232" t="n"/>
    </row>
    <row r="430">
      <c r="B430" s="232" t="n"/>
      <c r="C430" s="232" t="n"/>
      <c r="D430" s="232" t="n"/>
      <c r="E430" s="232" t="n"/>
      <c r="F430" s="232" t="n"/>
      <c r="G430" s="232" t="n"/>
    </row>
    <row r="431">
      <c r="B431" s="232" t="n"/>
      <c r="C431" s="232" t="n"/>
      <c r="D431" s="232" t="n"/>
      <c r="E431" s="232" t="n"/>
      <c r="F431" s="232" t="n"/>
      <c r="G431" s="232" t="n"/>
    </row>
    <row r="432">
      <c r="B432" s="232" t="n"/>
      <c r="C432" s="232" t="n"/>
      <c r="D432" s="232" t="n"/>
      <c r="E432" s="232" t="n"/>
      <c r="F432" s="232" t="n"/>
      <c r="G432" s="232" t="n"/>
    </row>
    <row r="433">
      <c r="B433" s="232" t="n"/>
      <c r="C433" s="232" t="n"/>
      <c r="D433" s="232" t="n"/>
      <c r="E433" s="232" t="n"/>
      <c r="F433" s="232" t="n"/>
      <c r="G433" s="232" t="n"/>
    </row>
    <row r="434">
      <c r="B434" s="232" t="n"/>
      <c r="C434" s="232" t="n"/>
      <c r="D434" s="232" t="n"/>
      <c r="E434" s="232" t="n"/>
      <c r="F434" s="232" t="n"/>
      <c r="G434" s="232" t="n"/>
    </row>
    <row r="435">
      <c r="B435" s="232" t="n"/>
      <c r="C435" s="232" t="n"/>
      <c r="D435" s="232" t="n"/>
      <c r="E435" s="232" t="n"/>
      <c r="F435" s="232" t="n"/>
      <c r="G435" s="232" t="n"/>
    </row>
    <row r="436">
      <c r="B436" s="232" t="n"/>
      <c r="C436" s="232" t="n"/>
      <c r="D436" s="232" t="n"/>
      <c r="E436" s="232" t="n"/>
      <c r="F436" s="232" t="n"/>
      <c r="G436" s="232" t="n"/>
    </row>
    <row r="437">
      <c r="B437" s="232" t="n"/>
      <c r="C437" s="232" t="n"/>
      <c r="D437" s="232" t="n"/>
      <c r="E437" s="232" t="n"/>
      <c r="F437" s="232" t="n"/>
      <c r="G437" s="232" t="n"/>
    </row>
    <row r="438">
      <c r="B438" s="232" t="n"/>
      <c r="C438" s="232" t="n"/>
      <c r="D438" s="232" t="n"/>
      <c r="E438" s="232" t="n"/>
      <c r="F438" s="232" t="n"/>
      <c r="G438" s="232" t="n"/>
    </row>
    <row r="439">
      <c r="B439" s="232" t="n"/>
      <c r="C439" s="232" t="n"/>
      <c r="D439" s="232" t="n"/>
      <c r="E439" s="232" t="n"/>
      <c r="F439" s="232" t="n"/>
      <c r="G439" s="232" t="n"/>
    </row>
    <row r="440">
      <c r="B440" s="232" t="n"/>
      <c r="C440" s="232" t="n"/>
      <c r="D440" s="232" t="n"/>
      <c r="E440" s="232" t="n"/>
      <c r="F440" s="232" t="n"/>
      <c r="G440" s="232" t="n"/>
    </row>
    <row r="441">
      <c r="B441" s="232" t="n"/>
      <c r="C441" s="232" t="n"/>
      <c r="D441" s="232" t="n"/>
      <c r="E441" s="232" t="n"/>
      <c r="F441" s="232" t="n"/>
      <c r="G441" s="232" t="n"/>
    </row>
    <row r="442">
      <c r="B442" s="232" t="n"/>
      <c r="C442" s="232" t="n"/>
      <c r="D442" s="232" t="n"/>
      <c r="E442" s="232" t="n"/>
      <c r="F442" s="232" t="n"/>
      <c r="G442" s="232" t="n"/>
    </row>
    <row r="443">
      <c r="B443" s="232" t="n"/>
      <c r="C443" s="232" t="n"/>
      <c r="D443" s="232" t="n"/>
      <c r="E443" s="232" t="n"/>
      <c r="F443" s="232" t="n"/>
      <c r="G443" s="232" t="n"/>
    </row>
    <row r="444">
      <c r="B444" s="232" t="n"/>
      <c r="C444" s="232" t="n"/>
      <c r="D444" s="232" t="n"/>
      <c r="E444" s="232" t="n"/>
      <c r="F444" s="232" t="n"/>
      <c r="G444" s="232" t="n"/>
    </row>
    <row r="445">
      <c r="B445" s="232" t="n"/>
      <c r="C445" s="232" t="n"/>
      <c r="D445" s="232" t="n"/>
      <c r="E445" s="232" t="n"/>
      <c r="F445" s="232" t="n"/>
      <c r="G445" s="232" t="n"/>
    </row>
    <row r="446">
      <c r="B446" s="232" t="n"/>
      <c r="C446" s="232" t="n"/>
      <c r="D446" s="232" t="n"/>
      <c r="E446" s="232" t="n"/>
      <c r="F446" s="232" t="n"/>
      <c r="G446" s="232" t="n"/>
    </row>
    <row r="447">
      <c r="B447" s="232" t="n"/>
      <c r="C447" s="232" t="n"/>
      <c r="D447" s="232" t="n"/>
      <c r="E447" s="232" t="n"/>
      <c r="F447" s="232" t="n"/>
      <c r="G447" s="232" t="n"/>
    </row>
    <row r="448">
      <c r="B448" s="232" t="n"/>
      <c r="C448" s="232" t="n"/>
      <c r="D448" s="232" t="n"/>
      <c r="E448" s="232" t="n"/>
      <c r="F448" s="232" t="n"/>
      <c r="G448" s="232" t="n"/>
    </row>
    <row r="449">
      <c r="B449" s="232" t="n"/>
      <c r="C449" s="232" t="n"/>
      <c r="D449" s="232" t="n"/>
      <c r="E449" s="232" t="n"/>
      <c r="F449" s="232" t="n"/>
      <c r="G449" s="232" t="n"/>
    </row>
    <row r="450">
      <c r="B450" s="232" t="n"/>
      <c r="C450" s="232" t="n"/>
      <c r="D450" s="232" t="n"/>
      <c r="E450" s="232" t="n"/>
      <c r="F450" s="232" t="n"/>
      <c r="G450" s="232" t="n"/>
    </row>
    <row r="451">
      <c r="B451" s="232" t="n"/>
      <c r="C451" s="232" t="n"/>
      <c r="D451" s="232" t="n"/>
      <c r="E451" s="232" t="n"/>
      <c r="F451" s="232" t="n"/>
      <c r="G451" s="232" t="n"/>
    </row>
    <row r="452">
      <c r="B452" s="232" t="n"/>
      <c r="C452" s="232" t="n"/>
      <c r="D452" s="232" t="n"/>
      <c r="E452" s="232" t="n"/>
      <c r="F452" s="232" t="n"/>
      <c r="G452" s="232" t="n"/>
    </row>
    <row r="453">
      <c r="B453" s="232" t="n"/>
      <c r="C453" s="232" t="n"/>
      <c r="D453" s="232" t="n"/>
      <c r="E453" s="232" t="n"/>
      <c r="F453" s="232" t="n"/>
      <c r="G453" s="232" t="n"/>
    </row>
    <row r="454">
      <c r="B454" s="232" t="n"/>
      <c r="C454" s="232" t="n"/>
      <c r="D454" s="232" t="n"/>
      <c r="E454" s="232" t="n"/>
      <c r="F454" s="232" t="n"/>
      <c r="G454" s="232" t="n"/>
    </row>
    <row r="455">
      <c r="B455" s="232" t="n"/>
      <c r="C455" s="232" t="n"/>
      <c r="D455" s="232" t="n"/>
      <c r="E455" s="232" t="n"/>
      <c r="F455" s="232" t="n"/>
      <c r="G455" s="232" t="n"/>
    </row>
    <row r="456">
      <c r="B456" s="232" t="n"/>
      <c r="C456" s="232" t="n"/>
      <c r="D456" s="232" t="n"/>
      <c r="E456" s="232" t="n"/>
      <c r="F456" s="232" t="n"/>
      <c r="G456" s="232" t="n"/>
    </row>
    <row r="457">
      <c r="B457" s="232" t="n"/>
      <c r="C457" s="232" t="n"/>
      <c r="D457" s="232" t="n"/>
      <c r="E457" s="232" t="n"/>
      <c r="F457" s="232" t="n"/>
      <c r="G457" s="232" t="n"/>
    </row>
    <row r="458">
      <c r="B458" s="232" t="n"/>
      <c r="C458" s="232" t="n"/>
      <c r="D458" s="232" t="n"/>
      <c r="E458" s="232" t="n"/>
      <c r="F458" s="232" t="n"/>
      <c r="G458" s="232" t="n"/>
    </row>
    <row r="459">
      <c r="B459" s="232" t="n"/>
      <c r="C459" s="232" t="n"/>
      <c r="D459" s="232" t="n"/>
      <c r="E459" s="232" t="n"/>
      <c r="F459" s="232" t="n"/>
      <c r="G459" s="232" t="n"/>
    </row>
    <row r="460">
      <c r="B460" s="232" t="n"/>
      <c r="C460" s="232" t="n"/>
      <c r="D460" s="232" t="n"/>
      <c r="E460" s="232" t="n"/>
      <c r="F460" s="232" t="n"/>
      <c r="G460" s="232" t="n"/>
    </row>
    <row r="461">
      <c r="B461" s="232" t="n"/>
      <c r="C461" s="232" t="n"/>
      <c r="D461" s="232" t="n"/>
      <c r="E461" s="232" t="n"/>
      <c r="F461" s="232" t="n"/>
      <c r="G461" s="232" t="n"/>
    </row>
    <row r="462">
      <c r="B462" s="232" t="n"/>
      <c r="C462" s="232" t="n"/>
      <c r="D462" s="232" t="n"/>
      <c r="E462" s="232" t="n"/>
      <c r="F462" s="232" t="n"/>
      <c r="G462" s="232" t="n"/>
    </row>
    <row r="463">
      <c r="B463" s="232" t="n"/>
      <c r="C463" s="232" t="n"/>
      <c r="D463" s="232" t="n"/>
      <c r="E463" s="232" t="n"/>
      <c r="F463" s="232" t="n"/>
      <c r="G463" s="232" t="n"/>
    </row>
    <row r="464">
      <c r="B464" s="232" t="n"/>
      <c r="C464" s="232" t="n"/>
      <c r="D464" s="232" t="n"/>
      <c r="E464" s="232" t="n"/>
      <c r="F464" s="232" t="n"/>
      <c r="G464" s="232" t="n"/>
    </row>
    <row r="465">
      <c r="B465" s="232" t="n"/>
      <c r="C465" s="232" t="n"/>
      <c r="D465" s="232" t="n"/>
      <c r="E465" s="232" t="n"/>
      <c r="F465" s="232" t="n"/>
      <c r="G465" s="232" t="n"/>
    </row>
    <row r="466">
      <c r="B466" s="232" t="n"/>
      <c r="C466" s="232" t="n"/>
      <c r="D466" s="232" t="n"/>
      <c r="E466" s="232" t="n"/>
      <c r="F466" s="232" t="n"/>
      <c r="G466" s="232" t="n"/>
    </row>
    <row r="467">
      <c r="B467" s="232" t="n"/>
      <c r="C467" s="232" t="n"/>
      <c r="D467" s="232" t="n"/>
      <c r="E467" s="232" t="n"/>
      <c r="F467" s="232" t="n"/>
      <c r="G467" s="232" t="n"/>
    </row>
    <row r="468">
      <c r="B468" s="232" t="n"/>
      <c r="C468" s="232" t="n"/>
      <c r="D468" s="232" t="n"/>
      <c r="E468" s="232" t="n"/>
      <c r="F468" s="232" t="n"/>
      <c r="G468" s="232" t="n"/>
    </row>
    <row r="469">
      <c r="B469" s="232" t="n"/>
      <c r="C469" s="232" t="n"/>
      <c r="D469" s="232" t="n"/>
      <c r="E469" s="232" t="n"/>
      <c r="F469" s="232" t="n"/>
      <c r="G469" s="232" t="n"/>
    </row>
    <row r="470">
      <c r="B470" s="232" t="n"/>
      <c r="C470" s="232" t="n"/>
      <c r="D470" s="232" t="n"/>
      <c r="E470" s="232" t="n"/>
      <c r="F470" s="232" t="n"/>
      <c r="G470" s="232" t="n"/>
    </row>
    <row r="471">
      <c r="B471" s="232" t="n"/>
      <c r="C471" s="232" t="n"/>
      <c r="D471" s="232" t="n"/>
      <c r="E471" s="232" t="n"/>
      <c r="F471" s="232" t="n"/>
      <c r="G471" s="232" t="n"/>
    </row>
    <row r="472">
      <c r="B472" s="232" t="n"/>
      <c r="C472" s="232" t="n"/>
      <c r="D472" s="232" t="n"/>
      <c r="E472" s="232" t="n"/>
      <c r="F472" s="232" t="n"/>
      <c r="G472" s="232" t="n"/>
    </row>
    <row r="473">
      <c r="B473" s="232" t="n"/>
      <c r="C473" s="232" t="n"/>
      <c r="D473" s="232" t="n"/>
      <c r="E473" s="232" t="n"/>
      <c r="F473" s="232" t="n"/>
      <c r="G473" s="232" t="n"/>
    </row>
    <row r="474">
      <c r="B474" s="232" t="n"/>
      <c r="C474" s="232" t="n"/>
      <c r="D474" s="232" t="n"/>
      <c r="E474" s="232" t="n"/>
      <c r="F474" s="232" t="n"/>
      <c r="G474" s="232" t="n"/>
    </row>
    <row r="475">
      <c r="B475" s="232" t="n"/>
      <c r="C475" s="232" t="n"/>
      <c r="D475" s="232" t="n"/>
      <c r="E475" s="232" t="n"/>
      <c r="F475" s="232" t="n"/>
      <c r="G475" s="232" t="n"/>
    </row>
    <row r="476">
      <c r="B476" s="232" t="n"/>
      <c r="C476" s="232" t="n"/>
      <c r="D476" s="232" t="n"/>
      <c r="E476" s="232" t="n"/>
      <c r="F476" s="232" t="n"/>
      <c r="G476" s="232" t="n"/>
    </row>
    <row r="477">
      <c r="B477" s="232" t="n"/>
      <c r="C477" s="232" t="n"/>
      <c r="D477" s="232" t="n"/>
      <c r="E477" s="232" t="n"/>
      <c r="F477" s="232" t="n"/>
      <c r="G477" s="232" t="n"/>
    </row>
    <row r="478">
      <c r="B478" s="232" t="n"/>
      <c r="C478" s="232" t="n"/>
      <c r="D478" s="232" t="n"/>
      <c r="E478" s="232" t="n"/>
      <c r="F478" s="232" t="n"/>
      <c r="G478" s="232" t="n"/>
    </row>
    <row r="479">
      <c r="B479" s="232" t="n"/>
      <c r="C479" s="232" t="n"/>
      <c r="D479" s="232" t="n"/>
      <c r="E479" s="232" t="n"/>
      <c r="F479" s="232" t="n"/>
      <c r="G479" s="232" t="n"/>
    </row>
    <row r="480">
      <c r="B480" s="232" t="n"/>
      <c r="C480" s="232" t="n"/>
      <c r="D480" s="232" t="n"/>
      <c r="E480" s="232" t="n"/>
      <c r="F480" s="232" t="n"/>
      <c r="G480" s="232" t="n"/>
    </row>
    <row r="481">
      <c r="B481" s="232" t="n"/>
      <c r="C481" s="232" t="n"/>
      <c r="D481" s="232" t="n"/>
      <c r="E481" s="232" t="n"/>
      <c r="F481" s="232" t="n"/>
      <c r="G481" s="232" t="n"/>
    </row>
    <row r="482">
      <c r="B482" s="232" t="n"/>
      <c r="C482" s="232" t="n"/>
      <c r="D482" s="232" t="n"/>
      <c r="E482" s="232" t="n"/>
      <c r="F482" s="232" t="n"/>
      <c r="G482" s="232" t="n"/>
    </row>
    <row r="483">
      <c r="B483" s="232" t="n"/>
      <c r="C483" s="232" t="n"/>
      <c r="D483" s="232" t="n"/>
      <c r="E483" s="232" t="n"/>
      <c r="F483" s="232" t="n"/>
      <c r="G483" s="232" t="n"/>
    </row>
    <row r="484">
      <c r="B484" s="232" t="n"/>
      <c r="C484" s="232" t="n"/>
      <c r="D484" s="232" t="n"/>
      <c r="E484" s="232" t="n"/>
      <c r="F484" s="232" t="n"/>
      <c r="G484" s="232" t="n"/>
    </row>
    <row r="485">
      <c r="B485" s="232" t="n"/>
      <c r="C485" s="232" t="n"/>
      <c r="D485" s="232" t="n"/>
      <c r="E485" s="232" t="n"/>
      <c r="F485" s="232" t="n"/>
      <c r="G485" s="232" t="n"/>
    </row>
    <row r="486">
      <c r="B486" s="232" t="n"/>
      <c r="C486" s="232" t="n"/>
      <c r="D486" s="232" t="n"/>
      <c r="E486" s="232" t="n"/>
      <c r="F486" s="232" t="n"/>
      <c r="G486" s="232" t="n"/>
    </row>
    <row r="487">
      <c r="B487" s="232" t="n"/>
      <c r="C487" s="232" t="n"/>
      <c r="D487" s="232" t="n"/>
      <c r="E487" s="232" t="n"/>
      <c r="F487" s="232" t="n"/>
      <c r="G487" s="232" t="n"/>
    </row>
    <row r="488">
      <c r="B488" s="232" t="n"/>
      <c r="C488" s="232" t="n"/>
      <c r="D488" s="232" t="n"/>
      <c r="E488" s="232" t="n"/>
      <c r="F488" s="232" t="n"/>
      <c r="G488" s="232" t="n"/>
    </row>
    <row r="489">
      <c r="B489" s="232" t="n"/>
      <c r="C489" s="232" t="n"/>
      <c r="D489" s="232" t="n"/>
      <c r="E489" s="232" t="n"/>
      <c r="F489" s="232" t="n"/>
      <c r="G489" s="232" t="n"/>
    </row>
    <row r="490">
      <c r="B490" s="232" t="n"/>
      <c r="C490" s="232" t="n"/>
      <c r="D490" s="232" t="n"/>
      <c r="E490" s="232" t="n"/>
      <c r="F490" s="232" t="n"/>
      <c r="G490" s="232" t="n"/>
    </row>
    <row r="491">
      <c r="B491" s="232" t="n"/>
      <c r="C491" s="232" t="n"/>
      <c r="D491" s="232" t="n"/>
      <c r="E491" s="232" t="n"/>
      <c r="F491" s="232" t="n"/>
      <c r="G491" s="232" t="n"/>
    </row>
    <row r="492">
      <c r="B492" s="232" t="n"/>
      <c r="C492" s="232" t="n"/>
      <c r="D492" s="232" t="n"/>
      <c r="E492" s="232" t="n"/>
      <c r="F492" s="232" t="n"/>
      <c r="G492" s="232" t="n"/>
    </row>
    <row r="493">
      <c r="B493" s="232" t="n"/>
      <c r="C493" s="232" t="n"/>
      <c r="D493" s="232" t="n"/>
      <c r="E493" s="232" t="n"/>
      <c r="F493" s="232" t="n"/>
      <c r="G493" s="232" t="n"/>
    </row>
    <row r="494">
      <c r="B494" s="232" t="n"/>
      <c r="C494" s="232" t="n"/>
      <c r="D494" s="232" t="n"/>
      <c r="E494" s="232" t="n"/>
      <c r="F494" s="232" t="n"/>
      <c r="G494" s="232" t="n"/>
    </row>
    <row r="495">
      <c r="B495" s="232" t="n"/>
      <c r="C495" s="232" t="n"/>
      <c r="D495" s="232" t="n"/>
      <c r="E495" s="232" t="n"/>
      <c r="F495" s="232" t="n"/>
      <c r="G495" s="232" t="n"/>
    </row>
    <row r="496">
      <c r="B496" s="232" t="n"/>
      <c r="C496" s="232" t="n"/>
      <c r="D496" s="232" t="n"/>
      <c r="E496" s="232" t="n"/>
      <c r="F496" s="232" t="n"/>
      <c r="G496" s="232" t="n"/>
    </row>
    <row r="497">
      <c r="B497" s="232" t="n"/>
      <c r="C497" s="232" t="n"/>
      <c r="D497" s="232" t="n"/>
      <c r="E497" s="232" t="n"/>
      <c r="F497" s="232" t="n"/>
      <c r="G497" s="232" t="n"/>
    </row>
    <row r="498">
      <c r="B498" s="232" t="n"/>
      <c r="C498" s="232" t="n"/>
      <c r="D498" s="232" t="n"/>
      <c r="E498" s="232" t="n"/>
      <c r="F498" s="232" t="n"/>
      <c r="G498" s="232" t="n"/>
    </row>
    <row r="499">
      <c r="B499" s="232" t="n"/>
      <c r="C499" s="232" t="n"/>
      <c r="D499" s="232" t="n"/>
      <c r="E499" s="232" t="n"/>
      <c r="F499" s="232" t="n"/>
      <c r="G499" s="232" t="n"/>
    </row>
    <row r="500">
      <c r="B500" s="232" t="n"/>
      <c r="C500" s="232" t="n"/>
      <c r="D500" s="232" t="n"/>
      <c r="E500" s="232" t="n"/>
      <c r="F500" s="232" t="n"/>
      <c r="G500" s="2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31">
    <mergeCell ref="A233:C233"/>
    <mergeCell ref="A208:C208"/>
    <mergeCell ref="A246:C246"/>
    <mergeCell ref="A22:G22"/>
    <mergeCell ref="A238:C238"/>
    <mergeCell ref="A204:C204"/>
    <mergeCell ref="A179:C179"/>
    <mergeCell ref="C4:G4"/>
    <mergeCell ref="C10:D10"/>
    <mergeCell ref="A85:C85"/>
    <mergeCell ref="A188:C188"/>
    <mergeCell ref="A194:C194"/>
    <mergeCell ref="A14:C14"/>
    <mergeCell ref="A224:C224"/>
    <mergeCell ref="A184:C184"/>
    <mergeCell ref="C9:D9"/>
    <mergeCell ref="A200:C200"/>
    <mergeCell ref="A165:C165"/>
    <mergeCell ref="C12:D12"/>
    <mergeCell ref="A1:G1"/>
    <mergeCell ref="A95:E95"/>
    <mergeCell ref="A6:G6"/>
    <mergeCell ref="C11:D11"/>
    <mergeCell ref="A229:C229"/>
    <mergeCell ref="A166:C166"/>
    <mergeCell ref="C8:D8"/>
    <mergeCell ref="A96:E96"/>
    <mergeCell ref="A216:C216"/>
    <mergeCell ref="A21:G21"/>
    <mergeCell ref="A2:G2"/>
    <mergeCell ref="A212:C21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0"/>
  <sheetViews>
    <sheetView tabSelected="0" topLeftCell="A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  <col width="28" customWidth="1" min="14" max="14"/>
    <col hidden="1" width="13" customWidth="1" min="18" max="18"/>
    <col hidden="1" width="13" customWidth="1" min="19" max="19"/>
  </cols>
  <sheetData>
    <row r="1" ht="52" customHeight="1">
      <c r="A1" s="27" t="inlineStr">
        <is>
          <t xml:space="preserve">   📋  歷史資料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 t="inlineStr">
        <is>
          <t xml:space="preserve">   📊 容量：5 已用 / 140 上限</t>
        </is>
      </c>
    </row>
    <row r="3" ht="8" customHeight="1"/>
    <row r="4" ht="30" customHeight="1">
      <c r="A4" s="18" t="inlineStr">
        <is>
          <t xml:space="preserve">   💡  新增資料：① 點下方任一空白列 → ② 直接 key 入。 Excel Table 自動擴展。淡黃色 = 可輸入欄位，淡灰色 = 公式自動算（請勿改）</t>
        </is>
      </c>
      <c r="B4" s="7" t="n"/>
      <c r="C4" s="7" t="n"/>
      <c r="D4" s="7" t="n"/>
      <c r="E4" s="7" t="n"/>
      <c r="F4" s="7" t="n"/>
      <c r="G4" s="7" t="n"/>
      <c r="H4" s="8" t="n"/>
    </row>
    <row r="5" ht="26" customHeight="1">
      <c r="A5" s="28" t="inlineStr">
        <is>
          <t xml:space="preserve">   🔗  SSOT：本表 Tbl歷史 是其他頁面公式的資料源。修改後其他頁的 KPI、報告、檢核都會即時更新</t>
        </is>
      </c>
      <c r="B5" s="7" t="n"/>
      <c r="C5" s="7" t="n"/>
      <c r="D5" s="7" t="n"/>
      <c r="E5" s="7" t="n"/>
      <c r="F5" s="7" t="n"/>
      <c r="G5" s="7" t="n"/>
      <c r="H5" s="8" t="n"/>
    </row>
    <row r="6" ht="30" customHeight="1">
      <c r="A6" s="204">
        <f>"   ★  本月即時 KPI 抄寫區（YY/MM = "&amp;(YEAR(今日)-1911)&amp;"/"&amp;TEXT(MONTH(今日),"00")&amp;"）  ｜  "&amp;IF(COUNTIF(Tbl歷史[統計年月],(YEAR(今日)-1911)&amp;"/"&amp;TEXT(MONTH(今日),"00"))&gt;=1,"✓ 本月已抄寫","🚨 本月尚未抄寫 — 請複製下方整列貼到主表")</f>
        <v/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/>
    </row>
    <row r="7" ht="32" customHeight="1">
      <c r="A7" s="56">
        <f>(YEAR(今日)-1911)&amp;"/"&amp;TEXT(MONTH(今日),"00")</f>
        <v/>
      </c>
      <c r="B7" s="205">
        <f>IFERROR(COUNTIFS(Tbl案件[發生時間],"&gt;="&amp;DATE(YEAR(今日),MONTH(今日),1),Tbl案件[發生時間],"&lt;="&amp;EOMONTH(今日,0),Tbl案件[發生管轄],"本轄",Tbl案件[計入發生數],"是"),0)</f>
        <v/>
      </c>
      <c r="C7" s="205">
        <f>IFERROR(COUNTIFS(Tbl案件[發生時間],"&gt;="&amp;DATE(YEAR(今日),MONTH(今日),1),Tbl案件[發生時間],"&lt;="&amp;EOMONTH(今日,0),Tbl案件[發生管轄],"本轄",Tbl案件[案件狀況],"尚未偵破"),0)</f>
        <v/>
      </c>
      <c r="D7" s="205">
        <f>IFERROR(COUNTIFS(Tbl案件[破獲時間],"&gt;="&amp;DATE(YEAR(今日),MONTH(今日),1),Tbl案件[破獲時間],"&lt;="&amp;EOMONTH(今日,0),Tbl案件[查獲管轄],"本轄",Tbl案件[是否破獲],"是"),0)</f>
        <v/>
      </c>
      <c r="E7" s="206">
        <f>IFERROR(D7/B7,0)</f>
        <v/>
      </c>
      <c r="F7" s="205">
        <f>IFERROR(COUNTIFS(Tbl案件[發生時間],"&gt;="&amp;DATE(YEAR(今日),MONTH(今日),1),Tbl案件[發生時間],"&lt;="&amp;EOMONTH(今日,0),Tbl案件[發生管轄],"本轄",Tbl案件[案類分類],"竊盜"),0)</f>
        <v/>
      </c>
      <c r="G7" s="205">
        <f>IFERROR(COUNTIFS(Tbl案件[發生時間],"&gt;="&amp;DATE(YEAR(今日),MONTH(今日),1),Tbl案件[發生時間],"&lt;="&amp;EOMONTH(今日,0),Tbl案件[發生管轄],"本轄",Tbl案件[案類分類],"詐欺"),0)</f>
        <v/>
      </c>
      <c r="H7" s="205">
        <f>IFERROR(COUNTIFS(Tbl案件[破獲時間],"&gt;="&amp;DATE(YEAR(今日),MONTH(今日),1),Tbl案件[破獲時間],"&lt;="&amp;EOMONTH(今日,0),Tbl案件[查獲管轄],"本轄",Tbl案件[案件狀況],"已破獲未移送"),0)</f>
        <v/>
      </c>
      <c r="I7" s="56">
        <f>"—"</f>
        <v/>
      </c>
      <c r="J7" s="206">
        <f>IFERROR(SUM(Tbl毒調[是否到驗])/COUNTA(Tbl毒調[姓名]),0)</f>
        <v/>
      </c>
      <c r="K7" s="205">
        <f>IFERROR(COUNTIF(Tbl毒調[管制情形],"*未到驗*"),0)</f>
        <v/>
      </c>
      <c r="L7" s="206">
        <f>IFERROR(交通績效管制!$E$8,0)</f>
        <v/>
      </c>
      <c r="M7" s="56">
        <f>IFERROR(INDEX($R$50:$R$110,MATCH(MAX($S$50:$S$110),$S$50:$S$110,0)),"—")</f>
        <v/>
      </c>
      <c r="N7" s="207">
        <f>""</f>
        <v/>
      </c>
    </row>
    <row r="8" ht="24" customHeight="1">
      <c r="A8" s="5" t="inlineStr">
        <is>
          <t xml:space="preserve">   📋 操作流程：①  選 A7:N7 整列 → 複製（Ctrl+C）  ②  到下方主表第一筆空白列 → 貼上值（Ctrl+Shift+V → 值）  ③  按 Enter 完成抄寫（上方紅燈將自動轉綠）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8" t="n"/>
    </row>
    <row r="9" ht="8" customHeight="1"/>
    <row r="10" ht="34" customHeight="1">
      <c r="A10" s="10" t="inlineStr">
        <is>
          <t>統計年月</t>
        </is>
      </c>
      <c r="B10" s="10" t="inlineStr">
        <is>
          <t>全般發生</t>
        </is>
      </c>
      <c r="C10" s="10" t="inlineStr">
        <is>
          <t>全般未破</t>
        </is>
      </c>
      <c r="D10" s="10" t="inlineStr">
        <is>
          <t>全般破獲</t>
        </is>
      </c>
      <c r="E10" s="10" t="inlineStr">
        <is>
          <t>破獲率</t>
        </is>
      </c>
      <c r="F10" s="10" t="inlineStr">
        <is>
          <t>竊盜</t>
        </is>
      </c>
      <c r="G10" s="10" t="inlineStr">
        <is>
          <t>詐欺</t>
        </is>
      </c>
      <c r="H10" s="10" t="inlineStr">
        <is>
          <t>已破獲未移送</t>
        </is>
      </c>
      <c r="I10" s="10" t="inlineStr">
        <is>
          <t>發展中</t>
        </is>
      </c>
      <c r="J10" s="10" t="inlineStr">
        <is>
          <t>毒調率</t>
        </is>
      </c>
      <c r="K10" s="10" t="inlineStr">
        <is>
          <t>未到驗</t>
        </is>
      </c>
      <c r="L10" s="10" t="inlineStr">
        <is>
          <t>交通達標</t>
        </is>
      </c>
      <c r="M10" s="10" t="inlineStr">
        <is>
          <t>員警冠軍</t>
        </is>
      </c>
      <c r="N10" s="10" t="inlineStr">
        <is>
          <t>備註</t>
        </is>
      </c>
    </row>
    <row r="11" ht="30" customHeight="1">
      <c r="A11" s="223" t="n"/>
      <c r="B11" s="225" t="n"/>
      <c r="C11" s="225" t="n"/>
      <c r="D11" s="225" t="n"/>
      <c r="E11" s="246" t="n"/>
      <c r="F11" s="225" t="n"/>
      <c r="G11" s="225" t="n"/>
      <c r="H11" s="225" t="n"/>
      <c r="I11" s="225" t="n"/>
      <c r="J11" s="246" t="n"/>
      <c r="K11" s="225" t="n"/>
      <c r="L11" s="246" t="n"/>
      <c r="M11" s="223" t="n"/>
      <c r="N11" s="223" t="inlineStr"/>
    </row>
    <row r="12" ht="30" customHeight="1">
      <c r="A12" s="223" t="n"/>
      <c r="B12" s="225" t="n"/>
      <c r="C12" s="225" t="n"/>
      <c r="D12" s="225" t="n"/>
      <c r="E12" s="246" t="n"/>
      <c r="F12" s="225" t="n"/>
      <c r="G12" s="225" t="n"/>
      <c r="H12" s="225" t="n"/>
      <c r="I12" s="225" t="n"/>
      <c r="J12" s="246" t="n"/>
      <c r="K12" s="225" t="n"/>
      <c r="L12" s="246" t="n"/>
      <c r="M12" s="223" t="n"/>
      <c r="N12" s="223" t="inlineStr"/>
    </row>
    <row r="13" ht="30" customHeight="1">
      <c r="A13" s="223" t="n"/>
      <c r="B13" s="225" t="n"/>
      <c r="C13" s="225" t="n"/>
      <c r="D13" s="225" t="n"/>
      <c r="E13" s="246" t="n"/>
      <c r="F13" s="225" t="n"/>
      <c r="G13" s="225" t="n"/>
      <c r="H13" s="225" t="n"/>
      <c r="I13" s="225" t="n"/>
      <c r="J13" s="246" t="n"/>
      <c r="K13" s="225" t="n"/>
      <c r="L13" s="246" t="n"/>
      <c r="M13" s="223" t="n"/>
      <c r="N13" s="223" t="n"/>
    </row>
    <row r="14" ht="30" customHeight="1">
      <c r="A14" s="223" t="n"/>
      <c r="B14" s="225" t="n"/>
      <c r="C14" s="225" t="n"/>
      <c r="D14" s="225" t="n"/>
      <c r="E14" s="246" t="n"/>
      <c r="F14" s="225" t="n"/>
      <c r="G14" s="225" t="n"/>
      <c r="H14" s="225" t="n"/>
      <c r="I14" s="225" t="n"/>
      <c r="J14" s="246" t="n"/>
      <c r="K14" s="225" t="n"/>
      <c r="L14" s="246" t="n"/>
      <c r="M14" s="223" t="n"/>
      <c r="N14" s="223" t="n"/>
    </row>
    <row r="15" ht="30" customHeight="1">
      <c r="A15" s="223" t="n"/>
      <c r="B15" s="225" t="n"/>
      <c r="C15" s="225" t="n"/>
      <c r="D15" s="225" t="n"/>
      <c r="E15" s="246" t="n"/>
      <c r="F15" s="225" t="n"/>
      <c r="G15" s="225" t="n"/>
      <c r="H15" s="225" t="n"/>
      <c r="I15" s="225" t="n"/>
      <c r="J15" s="246" t="n"/>
      <c r="K15" s="225" t="n"/>
      <c r="L15" s="246" t="n"/>
      <c r="M15" s="223" t="n"/>
      <c r="N15" s="223" t="inlineStr"/>
    </row>
    <row r="16" ht="30" customHeight="1">
      <c r="A16" s="227" t="n"/>
      <c r="B16" s="229" t="n"/>
      <c r="C16" s="229" t="n"/>
      <c r="D16" s="229" t="n"/>
      <c r="E16" s="247" t="n"/>
      <c r="F16" s="229" t="n"/>
      <c r="G16" s="229" t="n"/>
      <c r="H16" s="229" t="n"/>
      <c r="I16" s="229" t="n"/>
      <c r="J16" s="247" t="n"/>
      <c r="K16" s="229" t="n"/>
      <c r="L16" s="247" t="n"/>
      <c r="M16" s="227" t="n"/>
      <c r="N16" s="227" t="n"/>
    </row>
    <row r="17" ht="30" customHeight="1">
      <c r="A17" s="227" t="n"/>
      <c r="B17" s="229" t="n"/>
      <c r="C17" s="229" t="n"/>
      <c r="D17" s="229" t="n"/>
      <c r="E17" s="247" t="n"/>
      <c r="F17" s="229" t="n"/>
      <c r="G17" s="229" t="n"/>
      <c r="H17" s="229" t="n"/>
      <c r="I17" s="229" t="n"/>
      <c r="J17" s="247" t="n"/>
      <c r="K17" s="229" t="n"/>
      <c r="L17" s="247" t="n"/>
      <c r="M17" s="227" t="n"/>
      <c r="N17" s="227" t="n"/>
    </row>
    <row r="18" ht="30" customHeight="1">
      <c r="A18" s="227" t="n"/>
      <c r="B18" s="229" t="n"/>
      <c r="C18" s="229" t="n"/>
      <c r="D18" s="229" t="n"/>
      <c r="E18" s="247" t="n"/>
      <c r="F18" s="229" t="n"/>
      <c r="G18" s="229" t="n"/>
      <c r="H18" s="229" t="n"/>
      <c r="I18" s="229" t="n"/>
      <c r="J18" s="247" t="n"/>
      <c r="K18" s="229" t="n"/>
      <c r="L18" s="247" t="n"/>
      <c r="M18" s="227" t="n"/>
      <c r="N18" s="227" t="n"/>
    </row>
    <row r="19" ht="30" customHeight="1">
      <c r="A19" s="227" t="n"/>
      <c r="B19" s="229" t="n"/>
      <c r="C19" s="229" t="n"/>
      <c r="D19" s="229" t="n"/>
      <c r="E19" s="247" t="n"/>
      <c r="F19" s="229" t="n"/>
      <c r="G19" s="229" t="n"/>
      <c r="H19" s="229" t="n"/>
      <c r="I19" s="229" t="n"/>
      <c r="J19" s="247" t="n"/>
      <c r="K19" s="229" t="n"/>
      <c r="L19" s="247" t="n"/>
      <c r="M19" s="227" t="n"/>
      <c r="N19" s="227" t="n"/>
    </row>
    <row r="20" ht="30" customHeight="1">
      <c r="A20" s="227" t="n"/>
      <c r="B20" s="229" t="n"/>
      <c r="C20" s="229" t="n"/>
      <c r="D20" s="229" t="n"/>
      <c r="E20" s="247" t="n"/>
      <c r="F20" s="229" t="n"/>
      <c r="G20" s="229" t="n"/>
      <c r="H20" s="229" t="n"/>
      <c r="I20" s="229" t="n"/>
      <c r="J20" s="247" t="n"/>
      <c r="K20" s="229" t="n"/>
      <c r="L20" s="247" t="n"/>
      <c r="M20" s="227" t="n"/>
      <c r="N20" s="227" t="n"/>
    </row>
    <row r="21" ht="30" customHeight="1">
      <c r="A21" s="227" t="n"/>
      <c r="B21" s="229" t="n"/>
      <c r="C21" s="229" t="n"/>
      <c r="D21" s="229" t="n"/>
      <c r="E21" s="247" t="n"/>
      <c r="F21" s="229" t="n"/>
      <c r="G21" s="229" t="n"/>
      <c r="H21" s="229" t="n"/>
      <c r="I21" s="229" t="n"/>
      <c r="J21" s="247" t="n"/>
      <c r="K21" s="229" t="n"/>
      <c r="L21" s="247" t="n"/>
      <c r="M21" s="227" t="n"/>
      <c r="N21" s="227" t="n"/>
    </row>
    <row r="22" ht="30" customHeight="1">
      <c r="A22" s="227" t="n"/>
      <c r="B22" s="229" t="n"/>
      <c r="C22" s="229" t="n"/>
      <c r="D22" s="229" t="n"/>
      <c r="E22" s="247" t="n"/>
      <c r="F22" s="229" t="n"/>
      <c r="G22" s="229" t="n"/>
      <c r="H22" s="229" t="n"/>
      <c r="I22" s="229" t="n"/>
      <c r="J22" s="247" t="n"/>
      <c r="K22" s="229" t="n"/>
      <c r="L22" s="247" t="n"/>
      <c r="M22" s="227" t="n"/>
      <c r="N22" s="227" t="n"/>
    </row>
    <row r="23" ht="30" customHeight="1">
      <c r="A23" s="227" t="n"/>
      <c r="B23" s="229" t="n"/>
      <c r="C23" s="229" t="n"/>
      <c r="D23" s="229" t="n"/>
      <c r="E23" s="247" t="n"/>
      <c r="F23" s="229" t="n"/>
      <c r="G23" s="229" t="n"/>
      <c r="H23" s="229" t="n"/>
      <c r="I23" s="229" t="n"/>
      <c r="J23" s="247" t="n"/>
      <c r="K23" s="229" t="n"/>
      <c r="L23" s="247" t="n"/>
      <c r="M23" s="227" t="n"/>
      <c r="N23" s="227" t="n"/>
    </row>
    <row r="24" ht="30" customHeight="1">
      <c r="A24" s="227" t="n"/>
      <c r="B24" s="229" t="n"/>
      <c r="C24" s="229" t="n"/>
      <c r="D24" s="229" t="n"/>
      <c r="E24" s="247" t="n"/>
      <c r="F24" s="229" t="n"/>
      <c r="G24" s="229" t="n"/>
      <c r="H24" s="229" t="n"/>
      <c r="I24" s="229" t="n"/>
      <c r="J24" s="247" t="n"/>
      <c r="K24" s="229" t="n"/>
      <c r="L24" s="247" t="n"/>
      <c r="M24" s="227" t="n"/>
      <c r="N24" s="227" t="n"/>
    </row>
    <row r="25" ht="30" customHeight="1">
      <c r="A25" s="227" t="n"/>
      <c r="B25" s="229" t="n"/>
      <c r="C25" s="229" t="n"/>
      <c r="D25" s="229" t="n"/>
      <c r="E25" s="247" t="n"/>
      <c r="F25" s="229" t="n"/>
      <c r="G25" s="229" t="n"/>
      <c r="H25" s="229" t="n"/>
      <c r="I25" s="229" t="n"/>
      <c r="J25" s="247" t="n"/>
      <c r="K25" s="229" t="n"/>
      <c r="L25" s="247" t="n"/>
      <c r="M25" s="227" t="n"/>
      <c r="N25" s="227" t="n"/>
    </row>
    <row r="26" ht="30" customHeight="1">
      <c r="A26" s="227" t="n"/>
      <c r="B26" s="229" t="n"/>
      <c r="C26" s="229" t="n"/>
      <c r="D26" s="229" t="n"/>
      <c r="E26" s="247" t="n"/>
      <c r="F26" s="229" t="n"/>
      <c r="G26" s="229" t="n"/>
      <c r="H26" s="229" t="n"/>
      <c r="I26" s="229" t="n"/>
      <c r="J26" s="247" t="n"/>
      <c r="K26" s="229" t="n"/>
      <c r="L26" s="247" t="n"/>
      <c r="M26" s="227" t="n"/>
      <c r="N26" s="227" t="n"/>
    </row>
    <row r="27" ht="30" customHeight="1">
      <c r="A27" s="227" t="n"/>
      <c r="B27" s="229" t="n"/>
      <c r="C27" s="229" t="n"/>
      <c r="D27" s="229" t="n"/>
      <c r="E27" s="247" t="n"/>
      <c r="F27" s="229" t="n"/>
      <c r="G27" s="229" t="n"/>
      <c r="H27" s="229" t="n"/>
      <c r="I27" s="229" t="n"/>
      <c r="J27" s="247" t="n"/>
      <c r="K27" s="229" t="n"/>
      <c r="L27" s="247" t="n"/>
      <c r="M27" s="227" t="n"/>
      <c r="N27" s="227" t="n"/>
    </row>
    <row r="28" ht="30" customHeight="1">
      <c r="A28" s="227" t="n"/>
      <c r="B28" s="229" t="n"/>
      <c r="C28" s="229" t="n"/>
      <c r="D28" s="229" t="n"/>
      <c r="E28" s="247" t="n"/>
      <c r="F28" s="229" t="n"/>
      <c r="G28" s="229" t="n"/>
      <c r="H28" s="229" t="n"/>
      <c r="I28" s="229" t="n"/>
      <c r="J28" s="247" t="n"/>
      <c r="K28" s="229" t="n"/>
      <c r="L28" s="247" t="n"/>
      <c r="M28" s="227" t="n"/>
      <c r="N28" s="227" t="n"/>
    </row>
    <row r="29" ht="30" customHeight="1">
      <c r="A29" s="227" t="n"/>
      <c r="B29" s="229" t="n"/>
      <c r="C29" s="229" t="n"/>
      <c r="D29" s="229" t="n"/>
      <c r="E29" s="247" t="n"/>
      <c r="F29" s="229" t="n"/>
      <c r="G29" s="229" t="n"/>
      <c r="H29" s="229" t="n"/>
      <c r="I29" s="229" t="n"/>
      <c r="J29" s="247" t="n"/>
      <c r="K29" s="229" t="n"/>
      <c r="L29" s="247" t="n"/>
      <c r="M29" s="227" t="n"/>
      <c r="N29" s="227" t="n"/>
    </row>
    <row r="30" ht="30" customHeight="1">
      <c r="A30" s="227" t="n"/>
      <c r="B30" s="229" t="n"/>
      <c r="C30" s="229" t="n"/>
      <c r="D30" s="229" t="n"/>
      <c r="E30" s="247" t="n"/>
      <c r="F30" s="229" t="n"/>
      <c r="G30" s="229" t="n"/>
      <c r="H30" s="229" t="n"/>
      <c r="I30" s="229" t="n"/>
      <c r="J30" s="247" t="n"/>
      <c r="K30" s="229" t="n"/>
      <c r="L30" s="247" t="n"/>
      <c r="M30" s="227" t="n"/>
      <c r="N30" s="227" t="n"/>
    </row>
    <row r="31" ht="30" customHeight="1">
      <c r="A31" s="227" t="n"/>
      <c r="B31" s="229" t="n"/>
      <c r="C31" s="229" t="n"/>
      <c r="D31" s="229" t="n"/>
      <c r="E31" s="247" t="n"/>
      <c r="F31" s="229" t="n"/>
      <c r="G31" s="229" t="n"/>
      <c r="H31" s="229" t="n"/>
      <c r="I31" s="229" t="n"/>
      <c r="J31" s="247" t="n"/>
      <c r="K31" s="229" t="n"/>
      <c r="L31" s="247" t="n"/>
      <c r="M31" s="227" t="n"/>
      <c r="N31" s="227" t="n"/>
    </row>
    <row r="32" ht="30" customHeight="1">
      <c r="A32" s="227" t="n"/>
      <c r="B32" s="229" t="n"/>
      <c r="C32" s="229" t="n"/>
      <c r="D32" s="229" t="n"/>
      <c r="E32" s="247" t="n"/>
      <c r="F32" s="229" t="n"/>
      <c r="G32" s="229" t="n"/>
      <c r="H32" s="229" t="n"/>
      <c r="I32" s="229" t="n"/>
      <c r="J32" s="247" t="n"/>
      <c r="K32" s="229" t="n"/>
      <c r="L32" s="247" t="n"/>
      <c r="M32" s="227" t="n"/>
      <c r="N32" s="227" t="n"/>
    </row>
    <row r="33" ht="30" customHeight="1">
      <c r="A33" s="227" t="n"/>
      <c r="B33" s="229" t="n"/>
      <c r="C33" s="229" t="n"/>
      <c r="D33" s="229" t="n"/>
      <c r="E33" s="247" t="n"/>
      <c r="F33" s="229" t="n"/>
      <c r="G33" s="229" t="n"/>
      <c r="H33" s="229" t="n"/>
      <c r="I33" s="229" t="n"/>
      <c r="J33" s="247" t="n"/>
      <c r="K33" s="229" t="n"/>
      <c r="L33" s="247" t="n"/>
      <c r="M33" s="227" t="n"/>
      <c r="N33" s="227" t="n"/>
    </row>
    <row r="34" ht="30" customHeight="1">
      <c r="A34" s="227" t="n"/>
      <c r="B34" s="229" t="n"/>
      <c r="C34" s="229" t="n"/>
      <c r="D34" s="229" t="n"/>
      <c r="E34" s="247" t="n"/>
      <c r="F34" s="229" t="n"/>
      <c r="G34" s="229" t="n"/>
      <c r="H34" s="229" t="n"/>
      <c r="I34" s="229" t="n"/>
      <c r="J34" s="247" t="n"/>
      <c r="K34" s="229" t="n"/>
      <c r="L34" s="247" t="n"/>
      <c r="M34" s="227" t="n"/>
      <c r="N34" s="227" t="n"/>
    </row>
    <row r="35" ht="30" customHeight="1">
      <c r="A35" s="227" t="n"/>
      <c r="B35" s="229" t="n"/>
      <c r="C35" s="229" t="n"/>
      <c r="D35" s="229" t="n"/>
      <c r="E35" s="247" t="n"/>
      <c r="F35" s="229" t="n"/>
      <c r="G35" s="229" t="n"/>
      <c r="H35" s="229" t="n"/>
      <c r="I35" s="229" t="n"/>
      <c r="J35" s="247" t="n"/>
      <c r="K35" s="229" t="n"/>
      <c r="L35" s="247" t="n"/>
      <c r="M35" s="227" t="n"/>
      <c r="N35" s="227" t="n"/>
    </row>
    <row r="36" ht="30" customHeight="1">
      <c r="A36" s="227" t="n"/>
      <c r="B36" s="229" t="n"/>
      <c r="C36" s="229" t="n"/>
      <c r="D36" s="229" t="n"/>
      <c r="E36" s="247" t="n"/>
      <c r="F36" s="229" t="n"/>
      <c r="G36" s="229" t="n"/>
      <c r="H36" s="229" t="n"/>
      <c r="I36" s="229" t="n"/>
      <c r="J36" s="247" t="n"/>
      <c r="K36" s="229" t="n"/>
      <c r="L36" s="247" t="n"/>
      <c r="M36" s="227" t="n"/>
      <c r="N36" s="227" t="n"/>
    </row>
    <row r="37" ht="30" customHeight="1">
      <c r="A37" s="227" t="n"/>
      <c r="B37" s="229" t="n"/>
      <c r="C37" s="229" t="n"/>
      <c r="D37" s="229" t="n"/>
      <c r="E37" s="247" t="n"/>
      <c r="F37" s="229" t="n"/>
      <c r="G37" s="229" t="n"/>
      <c r="H37" s="229" t="n"/>
      <c r="I37" s="229" t="n"/>
      <c r="J37" s="247" t="n"/>
      <c r="K37" s="229" t="n"/>
      <c r="L37" s="247" t="n"/>
      <c r="M37" s="227" t="n"/>
      <c r="N37" s="227" t="n"/>
    </row>
    <row r="38" ht="30" customHeight="1">
      <c r="A38" s="227" t="n"/>
      <c r="B38" s="229" t="n"/>
      <c r="C38" s="229" t="n"/>
      <c r="D38" s="229" t="n"/>
      <c r="E38" s="247" t="n"/>
      <c r="F38" s="229" t="n"/>
      <c r="G38" s="229" t="n"/>
      <c r="H38" s="229" t="n"/>
      <c r="I38" s="229" t="n"/>
      <c r="J38" s="247" t="n"/>
      <c r="K38" s="229" t="n"/>
      <c r="L38" s="247" t="n"/>
      <c r="M38" s="227" t="n"/>
      <c r="N38" s="227" t="n"/>
    </row>
    <row r="39" ht="30" customHeight="1">
      <c r="A39" s="227" t="n"/>
      <c r="B39" s="229" t="n"/>
      <c r="C39" s="229" t="n"/>
      <c r="D39" s="229" t="n"/>
      <c r="E39" s="247" t="n"/>
      <c r="F39" s="229" t="n"/>
      <c r="G39" s="229" t="n"/>
      <c r="H39" s="229" t="n"/>
      <c r="I39" s="229" t="n"/>
      <c r="J39" s="247" t="n"/>
      <c r="K39" s="229" t="n"/>
      <c r="L39" s="247" t="n"/>
      <c r="M39" s="227" t="n"/>
      <c r="N39" s="227" t="n"/>
    </row>
    <row r="40" ht="30" customHeight="1">
      <c r="A40" s="227" t="n"/>
      <c r="B40" s="229" t="n"/>
      <c r="C40" s="229" t="n"/>
      <c r="D40" s="229" t="n"/>
      <c r="E40" s="247" t="n"/>
      <c r="F40" s="229" t="n"/>
      <c r="G40" s="229" t="n"/>
      <c r="H40" s="229" t="n"/>
      <c r="I40" s="229" t="n"/>
      <c r="J40" s="247" t="n"/>
      <c r="K40" s="229" t="n"/>
      <c r="L40" s="247" t="n"/>
      <c r="M40" s="227" t="n"/>
      <c r="N40" s="227" t="n"/>
    </row>
    <row r="41" ht="30" customHeight="1">
      <c r="A41" s="227" t="n"/>
      <c r="B41" s="229" t="n"/>
      <c r="C41" s="229" t="n"/>
      <c r="D41" s="229" t="n"/>
      <c r="E41" s="247" t="n"/>
      <c r="F41" s="229" t="n"/>
      <c r="G41" s="229" t="n"/>
      <c r="H41" s="229" t="n"/>
      <c r="I41" s="229" t="n"/>
      <c r="J41" s="247" t="n"/>
      <c r="K41" s="229" t="n"/>
      <c r="L41" s="247" t="n"/>
      <c r="M41" s="227" t="n"/>
      <c r="N41" s="227" t="n"/>
    </row>
    <row r="42" ht="30" customHeight="1">
      <c r="A42" s="227" t="n"/>
      <c r="B42" s="229" t="n"/>
      <c r="C42" s="229" t="n"/>
      <c r="D42" s="229" t="n"/>
      <c r="E42" s="247" t="n"/>
      <c r="F42" s="229" t="n"/>
      <c r="G42" s="229" t="n"/>
      <c r="H42" s="229" t="n"/>
      <c r="I42" s="229" t="n"/>
      <c r="J42" s="247" t="n"/>
      <c r="K42" s="229" t="n"/>
      <c r="L42" s="247" t="n"/>
      <c r="M42" s="227" t="n"/>
      <c r="N42" s="227" t="n"/>
    </row>
    <row r="43" ht="30" customHeight="1">
      <c r="A43" s="227" t="n"/>
      <c r="B43" s="229" t="n"/>
      <c r="C43" s="229" t="n"/>
      <c r="D43" s="229" t="n"/>
      <c r="E43" s="247" t="n"/>
      <c r="F43" s="229" t="n"/>
      <c r="G43" s="229" t="n"/>
      <c r="H43" s="229" t="n"/>
      <c r="I43" s="229" t="n"/>
      <c r="J43" s="247" t="n"/>
      <c r="K43" s="229" t="n"/>
      <c r="L43" s="247" t="n"/>
      <c r="M43" s="227" t="n"/>
      <c r="N43" s="227" t="n"/>
    </row>
    <row r="44" ht="30" customHeight="1">
      <c r="A44" s="227" t="n"/>
      <c r="B44" s="229" t="n"/>
      <c r="C44" s="229" t="n"/>
      <c r="D44" s="229" t="n"/>
      <c r="E44" s="247" t="n"/>
      <c r="F44" s="229" t="n"/>
      <c r="G44" s="229" t="n"/>
      <c r="H44" s="229" t="n"/>
      <c r="I44" s="229" t="n"/>
      <c r="J44" s="247" t="n"/>
      <c r="K44" s="229" t="n"/>
      <c r="L44" s="247" t="n"/>
      <c r="M44" s="227" t="n"/>
      <c r="N44" s="227" t="n"/>
    </row>
    <row r="45" ht="30" customHeight="1">
      <c r="A45" s="227" t="n"/>
      <c r="B45" s="229" t="n"/>
      <c r="C45" s="229" t="n"/>
      <c r="D45" s="229" t="n"/>
      <c r="E45" s="247" t="n"/>
      <c r="F45" s="229" t="n"/>
      <c r="G45" s="229" t="n"/>
      <c r="H45" s="229" t="n"/>
      <c r="I45" s="229" t="n"/>
      <c r="J45" s="247" t="n"/>
      <c r="K45" s="229" t="n"/>
      <c r="L45" s="247" t="n"/>
      <c r="M45" s="227" t="n"/>
      <c r="N45" s="227" t="n"/>
    </row>
    <row r="46">
      <c r="A46" s="232" t="n"/>
      <c r="B46" s="232" t="n"/>
      <c r="C46" s="232" t="n"/>
      <c r="D46" s="232" t="n"/>
      <c r="E46" s="232" t="n"/>
      <c r="F46" s="232" t="n"/>
      <c r="G46" s="232" t="n"/>
      <c r="H46" s="232" t="n"/>
      <c r="I46" s="232" t="n"/>
      <c r="J46" s="232" t="n"/>
      <c r="K46" s="232" t="n"/>
      <c r="L46" s="232" t="n"/>
      <c r="M46" s="232" t="n"/>
      <c r="N46" s="232" t="n"/>
    </row>
    <row r="47">
      <c r="A47" s="232" t="n"/>
      <c r="B47" s="232" t="n"/>
      <c r="C47" s="232" t="n"/>
      <c r="D47" s="232" t="n"/>
      <c r="E47" s="232" t="n"/>
      <c r="F47" s="232" t="n"/>
      <c r="G47" s="232" t="n"/>
      <c r="H47" s="232" t="n"/>
      <c r="I47" s="232" t="n"/>
      <c r="J47" s="232" t="n"/>
      <c r="K47" s="232" t="n"/>
      <c r="L47" s="232" t="n"/>
      <c r="M47" s="232" t="n"/>
      <c r="N47" s="232" t="n"/>
    </row>
    <row r="48">
      <c r="A48" s="232" t="n"/>
      <c r="B48" s="232" t="n"/>
      <c r="C48" s="232" t="n"/>
      <c r="D48" s="232" t="n"/>
      <c r="E48" s="232" t="n"/>
      <c r="F48" s="232" t="n"/>
      <c r="G48" s="232" t="n"/>
      <c r="H48" s="232" t="n"/>
      <c r="I48" s="232" t="n"/>
      <c r="J48" s="232" t="n"/>
      <c r="K48" s="232" t="n"/>
      <c r="L48" s="232" t="n"/>
      <c r="M48" s="232" t="n"/>
      <c r="N48" s="232" t="n"/>
    </row>
    <row r="49" hidden="1">
      <c r="A49" s="232" t="n"/>
      <c r="B49" s="232" t="n"/>
      <c r="C49" s="232" t="n"/>
      <c r="D49" s="232" t="n"/>
      <c r="E49" s="232" t="n"/>
      <c r="F49" s="232" t="n"/>
      <c r="G49" s="232" t="n"/>
      <c r="H49" s="232" t="n"/>
      <c r="I49" s="232" t="n"/>
      <c r="J49" s="232" t="n"/>
      <c r="K49" s="232" t="n"/>
      <c r="L49" s="232" t="n"/>
      <c r="M49" s="232" t="n"/>
      <c r="N49" s="232" t="n"/>
      <c r="R49" s="83" t="inlineStr">
        <is>
          <t>[helper] 員警</t>
        </is>
      </c>
      <c r="S49" s="83" t="inlineStr">
        <is>
          <t>當月破獲數</t>
        </is>
      </c>
    </row>
    <row r="50" hidden="1">
      <c r="A50" s="232" t="n"/>
      <c r="B50" s="232" t="n"/>
      <c r="C50" s="232" t="n"/>
      <c r="D50" s="232" t="n"/>
      <c r="E50" s="232" t="n"/>
      <c r="F50" s="232" t="n"/>
      <c r="G50" s="232" t="n"/>
      <c r="H50" s="232" t="n"/>
      <c r="I50" s="232" t="n"/>
      <c r="J50" s="232" t="n"/>
      <c r="K50" s="232" t="n"/>
      <c r="L50" s="232" t="n"/>
      <c r="M50" s="232" t="n"/>
      <c r="N50" s="232" t="n"/>
      <c r="R50" s="83">
        <f>IFERROR(IF(設定表!$B$24="","",設定表!$B$24),"")</f>
        <v/>
      </c>
      <c r="S50" s="86">
        <f>IFERROR(IF(R50="",0,COUNTIFS(Tbl案件[承辦人],R50,Tbl案件[是否破獲],"是",Tbl案件[破獲時間],"&gt;="&amp;DATE(YEAR(今日),MONTH(今日),1),Tbl案件[破獲時間],"&lt;="&amp;EOMONTH(今日,0))),0)</f>
        <v/>
      </c>
    </row>
    <row r="51" hidden="1">
      <c r="A51" s="232" t="n"/>
      <c r="B51" s="232" t="n"/>
      <c r="C51" s="232" t="n"/>
      <c r="D51" s="232" t="n"/>
      <c r="E51" s="232" t="n"/>
      <c r="F51" s="232" t="n"/>
      <c r="G51" s="232" t="n"/>
      <c r="H51" s="232" t="n"/>
      <c r="I51" s="232" t="n"/>
      <c r="J51" s="232" t="n"/>
      <c r="K51" s="232" t="n"/>
      <c r="L51" s="232" t="n"/>
      <c r="M51" s="232" t="n"/>
      <c r="N51" s="232" t="n"/>
      <c r="R51" s="83">
        <f>IFERROR(IF(設定表!$B$25="","",設定表!$B$25),"")</f>
        <v/>
      </c>
      <c r="S51" s="86">
        <f>IFERROR(IF(R51="",0,COUNTIFS(Tbl案件[承辦人],R51,Tbl案件[是否破獲],"是",Tbl案件[破獲時間],"&gt;="&amp;DATE(YEAR(今日),MONTH(今日),1),Tbl案件[破獲時間],"&lt;="&amp;EOMONTH(今日,0))),0)</f>
        <v/>
      </c>
    </row>
    <row r="52" hidden="1">
      <c r="A52" s="232" t="n"/>
      <c r="B52" s="232" t="n"/>
      <c r="C52" s="232" t="n"/>
      <c r="D52" s="232" t="n"/>
      <c r="E52" s="232" t="n"/>
      <c r="F52" s="232" t="n"/>
      <c r="G52" s="232" t="n"/>
      <c r="H52" s="232" t="n"/>
      <c r="I52" s="232" t="n"/>
      <c r="J52" s="232" t="n"/>
      <c r="K52" s="232" t="n"/>
      <c r="L52" s="232" t="n"/>
      <c r="M52" s="232" t="n"/>
      <c r="N52" s="232" t="n"/>
      <c r="R52" s="83">
        <f>IFERROR(IF(設定表!$B$26="","",設定表!$B$26),"")</f>
        <v/>
      </c>
      <c r="S52" s="86">
        <f>IFERROR(IF(R52="",0,COUNTIFS(Tbl案件[承辦人],R52,Tbl案件[是否破獲],"是",Tbl案件[破獲時間],"&gt;="&amp;DATE(YEAR(今日),MONTH(今日),1),Tbl案件[破獲時間],"&lt;="&amp;EOMONTH(今日,0))),0)</f>
        <v/>
      </c>
    </row>
    <row r="53" hidden="1">
      <c r="A53" s="232" t="n"/>
      <c r="B53" s="232" t="n"/>
      <c r="C53" s="232" t="n"/>
      <c r="D53" s="232" t="n"/>
      <c r="E53" s="232" t="n"/>
      <c r="F53" s="232" t="n"/>
      <c r="G53" s="232" t="n"/>
      <c r="H53" s="232" t="n"/>
      <c r="I53" s="232" t="n"/>
      <c r="J53" s="232" t="n"/>
      <c r="K53" s="232" t="n"/>
      <c r="L53" s="232" t="n"/>
      <c r="M53" s="232" t="n"/>
      <c r="N53" s="232" t="n"/>
      <c r="R53" s="83">
        <f>IFERROR(IF(設定表!$B$27="","",設定表!$B$27),"")</f>
        <v/>
      </c>
      <c r="S53" s="86">
        <f>IFERROR(IF(R53="",0,COUNTIFS(Tbl案件[承辦人],R53,Tbl案件[是否破獲],"是",Tbl案件[破獲時間],"&gt;="&amp;DATE(YEAR(今日),MONTH(今日),1),Tbl案件[破獲時間],"&lt;="&amp;EOMONTH(今日,0))),0)</f>
        <v/>
      </c>
    </row>
    <row r="54" hidden="1">
      <c r="A54" s="232" t="n"/>
      <c r="B54" s="232" t="n"/>
      <c r="C54" s="232" t="n"/>
      <c r="D54" s="232" t="n"/>
      <c r="E54" s="232" t="n"/>
      <c r="F54" s="232" t="n"/>
      <c r="G54" s="232" t="n"/>
      <c r="H54" s="232" t="n"/>
      <c r="I54" s="232" t="n"/>
      <c r="J54" s="232" t="n"/>
      <c r="K54" s="232" t="n"/>
      <c r="L54" s="232" t="n"/>
      <c r="M54" s="232" t="n"/>
      <c r="N54" s="232" t="n"/>
      <c r="R54" s="83">
        <f>IFERROR(IF(設定表!$B$28="","",設定表!$B$28),"")</f>
        <v/>
      </c>
      <c r="S54" s="86">
        <f>IFERROR(IF(R54="",0,COUNTIFS(Tbl案件[承辦人],R54,Tbl案件[是否破獲],"是",Tbl案件[破獲時間],"&gt;="&amp;DATE(YEAR(今日),MONTH(今日),1),Tbl案件[破獲時間],"&lt;="&amp;EOMONTH(今日,0))),0)</f>
        <v/>
      </c>
    </row>
    <row r="55" hidden="1">
      <c r="A55" s="232" t="n"/>
      <c r="B55" s="232" t="n"/>
      <c r="C55" s="232" t="n"/>
      <c r="D55" s="232" t="n"/>
      <c r="E55" s="232" t="n"/>
      <c r="F55" s="232" t="n"/>
      <c r="G55" s="232" t="n"/>
      <c r="H55" s="232" t="n"/>
      <c r="I55" s="232" t="n"/>
      <c r="J55" s="232" t="n"/>
      <c r="K55" s="232" t="n"/>
      <c r="L55" s="232" t="n"/>
      <c r="M55" s="232" t="n"/>
      <c r="N55" s="232" t="n"/>
      <c r="R55" s="83">
        <f>IFERROR(IF(設定表!$B$29="","",設定表!$B$29),"")</f>
        <v/>
      </c>
      <c r="S55" s="86">
        <f>IFERROR(IF(R55="",0,COUNTIFS(Tbl案件[承辦人],R55,Tbl案件[是否破獲],"是",Tbl案件[破獲時間],"&gt;="&amp;DATE(YEAR(今日),MONTH(今日),1),Tbl案件[破獲時間],"&lt;="&amp;EOMONTH(今日,0))),0)</f>
        <v/>
      </c>
    </row>
    <row r="56" hidden="1">
      <c r="A56" s="232" t="n"/>
      <c r="B56" s="232" t="n"/>
      <c r="C56" s="232" t="n"/>
      <c r="D56" s="232" t="n"/>
      <c r="E56" s="232" t="n"/>
      <c r="F56" s="232" t="n"/>
      <c r="G56" s="232" t="n"/>
      <c r="H56" s="232" t="n"/>
      <c r="I56" s="232" t="n"/>
      <c r="J56" s="232" t="n"/>
      <c r="K56" s="232" t="n"/>
      <c r="L56" s="232" t="n"/>
      <c r="M56" s="232" t="n"/>
      <c r="N56" s="232" t="n"/>
      <c r="R56" s="83">
        <f>IFERROR(IF(設定表!$B$30="","",設定表!$B$30),"")</f>
        <v/>
      </c>
      <c r="S56" s="86">
        <f>IFERROR(IF(R56="",0,COUNTIFS(Tbl案件[承辦人],R56,Tbl案件[是否破獲],"是",Tbl案件[破獲時間],"&gt;="&amp;DATE(YEAR(今日),MONTH(今日),1),Tbl案件[破獲時間],"&lt;="&amp;EOMONTH(今日,0))),0)</f>
        <v/>
      </c>
    </row>
    <row r="57" hidden="1">
      <c r="A57" s="232" t="n"/>
      <c r="B57" s="232" t="n"/>
      <c r="C57" s="232" t="n"/>
      <c r="D57" s="232" t="n"/>
      <c r="E57" s="232" t="n"/>
      <c r="F57" s="232" t="n"/>
      <c r="G57" s="232" t="n"/>
      <c r="H57" s="232" t="n"/>
      <c r="I57" s="232" t="n"/>
      <c r="J57" s="232" t="n"/>
      <c r="K57" s="232" t="n"/>
      <c r="L57" s="232" t="n"/>
      <c r="M57" s="232" t="n"/>
      <c r="N57" s="232" t="n"/>
      <c r="R57" s="83">
        <f>IFERROR(IF(設定表!$B$31="","",設定表!$B$31),"")</f>
        <v/>
      </c>
      <c r="S57" s="86">
        <f>IFERROR(IF(R57="",0,COUNTIFS(Tbl案件[承辦人],R57,Tbl案件[是否破獲],"是",Tbl案件[破獲時間],"&gt;="&amp;DATE(YEAR(今日),MONTH(今日),1),Tbl案件[破獲時間],"&lt;="&amp;EOMONTH(今日,0))),0)</f>
        <v/>
      </c>
    </row>
    <row r="58" hidden="1">
      <c r="A58" s="232" t="n"/>
      <c r="B58" s="232" t="n"/>
      <c r="C58" s="232" t="n"/>
      <c r="D58" s="232" t="n"/>
      <c r="E58" s="232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R58" s="83">
        <f>IFERROR(IF(設定表!$B$32="","",設定表!$B$32),"")</f>
        <v/>
      </c>
      <c r="S58" s="86">
        <f>IFERROR(IF(R58="",0,COUNTIFS(Tbl案件[承辦人],R58,Tbl案件[是否破獲],"是",Tbl案件[破獲時間],"&gt;="&amp;DATE(YEAR(今日),MONTH(今日),1),Tbl案件[破獲時間],"&lt;="&amp;EOMONTH(今日,0))),0)</f>
        <v/>
      </c>
    </row>
    <row r="59" hidden="1">
      <c r="A59" s="232" t="n"/>
      <c r="B59" s="232" t="n"/>
      <c r="C59" s="232" t="n"/>
      <c r="D59" s="232" t="n"/>
      <c r="E59" s="232" t="n"/>
      <c r="F59" s="232" t="n"/>
      <c r="G59" s="232" t="n"/>
      <c r="H59" s="232" t="n"/>
      <c r="I59" s="232" t="n"/>
      <c r="J59" s="232" t="n"/>
      <c r="K59" s="232" t="n"/>
      <c r="L59" s="232" t="n"/>
      <c r="M59" s="232" t="n"/>
      <c r="N59" s="232" t="n"/>
      <c r="R59" s="83">
        <f>IFERROR(IF(設定表!$B$33="","",設定表!$B$33),"")</f>
        <v/>
      </c>
      <c r="S59" s="86">
        <f>IFERROR(IF(R59="",0,COUNTIFS(Tbl案件[承辦人],R59,Tbl案件[是否破獲],"是",Tbl案件[破獲時間],"&gt;="&amp;DATE(YEAR(今日),MONTH(今日),1),Tbl案件[破獲時間],"&lt;="&amp;EOMONTH(今日,0))),0)</f>
        <v/>
      </c>
    </row>
    <row r="60" hidden="1">
      <c r="A60" s="232" t="n"/>
      <c r="B60" s="232" t="n"/>
      <c r="C60" s="232" t="n"/>
      <c r="D60" s="232" t="n"/>
      <c r="E60" s="232" t="n"/>
      <c r="F60" s="232" t="n"/>
      <c r="G60" s="232" t="n"/>
      <c r="H60" s="232" t="n"/>
      <c r="I60" s="232" t="n"/>
      <c r="J60" s="232" t="n"/>
      <c r="K60" s="232" t="n"/>
      <c r="L60" s="232" t="n"/>
      <c r="M60" s="232" t="n"/>
      <c r="N60" s="232" t="n"/>
      <c r="R60" s="83">
        <f>IFERROR(IF(設定表!$B$34="","",設定表!$B$34),"")</f>
        <v/>
      </c>
      <c r="S60" s="86">
        <f>IFERROR(IF(R60="",0,COUNTIFS(Tbl案件[承辦人],R60,Tbl案件[是否破獲],"是",Tbl案件[破獲時間],"&gt;="&amp;DATE(YEAR(今日),MONTH(今日),1),Tbl案件[破獲時間],"&lt;="&amp;EOMONTH(今日,0))),0)</f>
        <v/>
      </c>
    </row>
    <row r="61" hidden="1">
      <c r="A61" s="232" t="n"/>
      <c r="B61" s="232" t="n"/>
      <c r="C61" s="232" t="n"/>
      <c r="D61" s="232" t="n"/>
      <c r="E61" s="232" t="n"/>
      <c r="F61" s="232" t="n"/>
      <c r="G61" s="232" t="n"/>
      <c r="H61" s="232" t="n"/>
      <c r="I61" s="232" t="n"/>
      <c r="J61" s="232" t="n"/>
      <c r="K61" s="232" t="n"/>
      <c r="L61" s="232" t="n"/>
      <c r="M61" s="232" t="n"/>
      <c r="N61" s="232" t="n"/>
      <c r="R61" s="83">
        <f>IFERROR(IF(設定表!$B$35="","",設定表!$B$35),"")</f>
        <v/>
      </c>
      <c r="S61" s="86">
        <f>IFERROR(IF(R61="",0,COUNTIFS(Tbl案件[承辦人],R61,Tbl案件[是否破獲],"是",Tbl案件[破獲時間],"&gt;="&amp;DATE(YEAR(今日),MONTH(今日),1),Tbl案件[破獲時間],"&lt;="&amp;EOMONTH(今日,0))),0)</f>
        <v/>
      </c>
    </row>
    <row r="62" hidden="1">
      <c r="A62" s="232" t="n"/>
      <c r="B62" s="232" t="n"/>
      <c r="C62" s="232" t="n"/>
      <c r="D62" s="232" t="n"/>
      <c r="E62" s="232" t="n"/>
      <c r="F62" s="232" t="n"/>
      <c r="G62" s="232" t="n"/>
      <c r="H62" s="232" t="n"/>
      <c r="I62" s="232" t="n"/>
      <c r="J62" s="232" t="n"/>
      <c r="K62" s="232" t="n"/>
      <c r="L62" s="232" t="n"/>
      <c r="M62" s="232" t="n"/>
      <c r="N62" s="232" t="n"/>
      <c r="R62" s="83">
        <f>IFERROR(IF(設定表!$B$36="","",設定表!$B$36),"")</f>
        <v/>
      </c>
      <c r="S62" s="86">
        <f>IFERROR(IF(R62="",0,COUNTIFS(Tbl案件[承辦人],R62,Tbl案件[是否破獲],"是",Tbl案件[破獲時間],"&gt;="&amp;DATE(YEAR(今日),MONTH(今日),1),Tbl案件[破獲時間],"&lt;="&amp;EOMONTH(今日,0))),0)</f>
        <v/>
      </c>
    </row>
    <row r="63" hidden="1">
      <c r="A63" s="232" t="n"/>
      <c r="B63" s="232" t="n"/>
      <c r="C63" s="232" t="n"/>
      <c r="D63" s="232" t="n"/>
      <c r="E63" s="232" t="n"/>
      <c r="F63" s="232" t="n"/>
      <c r="G63" s="232" t="n"/>
      <c r="H63" s="232" t="n"/>
      <c r="I63" s="232" t="n"/>
      <c r="J63" s="232" t="n"/>
      <c r="K63" s="232" t="n"/>
      <c r="L63" s="232" t="n"/>
      <c r="M63" s="232" t="n"/>
      <c r="N63" s="232" t="n"/>
      <c r="R63" s="83">
        <f>IFERROR(IF(設定表!$B$37="","",設定表!$B$37),"")</f>
        <v/>
      </c>
      <c r="S63" s="86">
        <f>IFERROR(IF(R63="",0,COUNTIFS(Tbl案件[承辦人],R63,Tbl案件[是否破獲],"是",Tbl案件[破獲時間],"&gt;="&amp;DATE(YEAR(今日),MONTH(今日),1),Tbl案件[破獲時間],"&lt;="&amp;EOMONTH(今日,0))),0)</f>
        <v/>
      </c>
    </row>
    <row r="64" hidden="1">
      <c r="A64" s="232" t="n"/>
      <c r="B64" s="232" t="n"/>
      <c r="C64" s="232" t="n"/>
      <c r="D64" s="232" t="n"/>
      <c r="E64" s="232" t="n"/>
      <c r="F64" s="232" t="n"/>
      <c r="G64" s="232" t="n"/>
      <c r="H64" s="232" t="n"/>
      <c r="I64" s="232" t="n"/>
      <c r="J64" s="232" t="n"/>
      <c r="K64" s="232" t="n"/>
      <c r="L64" s="232" t="n"/>
      <c r="M64" s="232" t="n"/>
      <c r="N64" s="232" t="n"/>
      <c r="R64" s="83">
        <f>IFERROR(IF(設定表!$B$38="","",設定表!$B$38),"")</f>
        <v/>
      </c>
      <c r="S64" s="86">
        <f>IFERROR(IF(R64="",0,COUNTIFS(Tbl案件[承辦人],R64,Tbl案件[是否破獲],"是",Tbl案件[破獲時間],"&gt;="&amp;DATE(YEAR(今日),MONTH(今日),1),Tbl案件[破獲時間],"&lt;="&amp;EOMONTH(今日,0))),0)</f>
        <v/>
      </c>
    </row>
    <row r="65" hidden="1">
      <c r="A65" s="232" t="n"/>
      <c r="B65" s="232" t="n"/>
      <c r="C65" s="232" t="n"/>
      <c r="D65" s="232" t="n"/>
      <c r="E65" s="232" t="n"/>
      <c r="F65" s="232" t="n"/>
      <c r="G65" s="232" t="n"/>
      <c r="H65" s="232" t="n"/>
      <c r="I65" s="232" t="n"/>
      <c r="J65" s="232" t="n"/>
      <c r="K65" s="232" t="n"/>
      <c r="L65" s="232" t="n"/>
      <c r="M65" s="232" t="n"/>
      <c r="N65" s="232" t="n"/>
      <c r="R65" s="83">
        <f>IFERROR(IF(設定表!$B$39="","",設定表!$B$39),"")</f>
        <v/>
      </c>
      <c r="S65" s="86">
        <f>IFERROR(IF(R65="",0,COUNTIFS(Tbl案件[承辦人],R65,Tbl案件[是否破獲],"是",Tbl案件[破獲時間],"&gt;="&amp;DATE(YEAR(今日),MONTH(今日),1),Tbl案件[破獲時間],"&lt;="&amp;EOMONTH(今日,0))),0)</f>
        <v/>
      </c>
    </row>
    <row r="66" hidden="1">
      <c r="A66" s="232" t="n"/>
      <c r="B66" s="232" t="n"/>
      <c r="C66" s="232" t="n"/>
      <c r="D66" s="232" t="n"/>
      <c r="E66" s="232" t="n"/>
      <c r="F66" s="232" t="n"/>
      <c r="G66" s="232" t="n"/>
      <c r="H66" s="232" t="n"/>
      <c r="I66" s="232" t="n"/>
      <c r="J66" s="232" t="n"/>
      <c r="K66" s="232" t="n"/>
      <c r="L66" s="232" t="n"/>
      <c r="M66" s="232" t="n"/>
      <c r="N66" s="232" t="n"/>
      <c r="R66" s="83">
        <f>IFERROR(IF(設定表!$B$40="","",設定表!$B$40),"")</f>
        <v/>
      </c>
      <c r="S66" s="86">
        <f>IFERROR(IF(R66="",0,COUNTIFS(Tbl案件[承辦人],R66,Tbl案件[是否破獲],"是",Tbl案件[破獲時間],"&gt;="&amp;DATE(YEAR(今日),MONTH(今日),1),Tbl案件[破獲時間],"&lt;="&amp;EOMONTH(今日,0))),0)</f>
        <v/>
      </c>
    </row>
    <row r="67" hidden="1">
      <c r="A67" s="232" t="n"/>
      <c r="B67" s="232" t="n"/>
      <c r="C67" s="232" t="n"/>
      <c r="D67" s="232" t="n"/>
      <c r="E67" s="232" t="n"/>
      <c r="F67" s="232" t="n"/>
      <c r="G67" s="232" t="n"/>
      <c r="H67" s="232" t="n"/>
      <c r="I67" s="232" t="n"/>
      <c r="J67" s="232" t="n"/>
      <c r="K67" s="232" t="n"/>
      <c r="L67" s="232" t="n"/>
      <c r="M67" s="232" t="n"/>
      <c r="N67" s="232" t="n"/>
      <c r="R67" s="83">
        <f>IFERROR(IF(設定表!$B$41="","",設定表!$B$41),"")</f>
        <v/>
      </c>
      <c r="S67" s="86">
        <f>IFERROR(IF(R67="",0,COUNTIFS(Tbl案件[承辦人],R67,Tbl案件[是否破獲],"是",Tbl案件[破獲時間],"&gt;="&amp;DATE(YEAR(今日),MONTH(今日),1),Tbl案件[破獲時間],"&lt;="&amp;EOMONTH(今日,0))),0)</f>
        <v/>
      </c>
    </row>
    <row r="68" hidden="1">
      <c r="A68" s="232" t="n"/>
      <c r="B68" s="232" t="n"/>
      <c r="C68" s="232" t="n"/>
      <c r="D68" s="232" t="n"/>
      <c r="E68" s="232" t="n"/>
      <c r="F68" s="232" t="n"/>
      <c r="G68" s="232" t="n"/>
      <c r="H68" s="232" t="n"/>
      <c r="I68" s="232" t="n"/>
      <c r="J68" s="232" t="n"/>
      <c r="K68" s="232" t="n"/>
      <c r="L68" s="232" t="n"/>
      <c r="M68" s="232" t="n"/>
      <c r="N68" s="232" t="n"/>
      <c r="R68" s="83">
        <f>IFERROR(IF(設定表!$B$42="","",設定表!$B$42),"")</f>
        <v/>
      </c>
      <c r="S68" s="86">
        <f>IFERROR(IF(R68="",0,COUNTIFS(Tbl案件[承辦人],R68,Tbl案件[是否破獲],"是",Tbl案件[破獲時間],"&gt;="&amp;DATE(YEAR(今日),MONTH(今日),1),Tbl案件[破獲時間],"&lt;="&amp;EOMONTH(今日,0))),0)</f>
        <v/>
      </c>
    </row>
    <row r="69" hidden="1">
      <c r="A69" s="232" t="n"/>
      <c r="B69" s="232" t="n"/>
      <c r="C69" s="232" t="n"/>
      <c r="D69" s="232" t="n"/>
      <c r="E69" s="232" t="n"/>
      <c r="F69" s="232" t="n"/>
      <c r="G69" s="232" t="n"/>
      <c r="H69" s="232" t="n"/>
      <c r="I69" s="232" t="n"/>
      <c r="J69" s="232" t="n"/>
      <c r="K69" s="232" t="n"/>
      <c r="L69" s="232" t="n"/>
      <c r="M69" s="232" t="n"/>
      <c r="N69" s="232" t="n"/>
      <c r="R69" s="83">
        <f>IFERROR(IF(設定表!$B$43="","",設定表!$B$43),"")</f>
        <v/>
      </c>
      <c r="S69" s="86">
        <f>IFERROR(IF(R69="",0,COUNTIFS(Tbl案件[承辦人],R69,Tbl案件[是否破獲],"是",Tbl案件[破獲時間],"&gt;="&amp;DATE(YEAR(今日),MONTH(今日),1),Tbl案件[破獲時間],"&lt;="&amp;EOMONTH(今日,0))),0)</f>
        <v/>
      </c>
    </row>
    <row r="70" hidden="1">
      <c r="A70" s="232" t="n"/>
      <c r="B70" s="232" t="n"/>
      <c r="C70" s="232" t="n"/>
      <c r="D70" s="232" t="n"/>
      <c r="E70" s="232" t="n"/>
      <c r="F70" s="232" t="n"/>
      <c r="G70" s="232" t="n"/>
      <c r="H70" s="232" t="n"/>
      <c r="I70" s="232" t="n"/>
      <c r="J70" s="232" t="n"/>
      <c r="K70" s="232" t="n"/>
      <c r="L70" s="232" t="n"/>
      <c r="M70" s="232" t="n"/>
      <c r="N70" s="232" t="n"/>
      <c r="R70" s="83">
        <f>IFERROR(IF(設定表!$B$44="","",設定表!$B$44),"")</f>
        <v/>
      </c>
      <c r="S70" s="86">
        <f>IFERROR(IF(R70="",0,COUNTIFS(Tbl案件[承辦人],R70,Tbl案件[是否破獲],"是",Tbl案件[破獲時間],"&gt;="&amp;DATE(YEAR(今日),MONTH(今日),1),Tbl案件[破獲時間],"&lt;="&amp;EOMONTH(今日,0))),0)</f>
        <v/>
      </c>
    </row>
    <row r="71" hidden="1">
      <c r="A71" s="232" t="n"/>
      <c r="B71" s="232" t="n"/>
      <c r="C71" s="232" t="n"/>
      <c r="D71" s="232" t="n"/>
      <c r="E71" s="232" t="n"/>
      <c r="F71" s="232" t="n"/>
      <c r="G71" s="232" t="n"/>
      <c r="H71" s="232" t="n"/>
      <c r="I71" s="232" t="n"/>
      <c r="J71" s="232" t="n"/>
      <c r="K71" s="232" t="n"/>
      <c r="L71" s="232" t="n"/>
      <c r="M71" s="232" t="n"/>
      <c r="N71" s="232" t="n"/>
      <c r="R71" s="83">
        <f>IFERROR(IF(設定表!$B$45="","",設定表!$B$45),"")</f>
        <v/>
      </c>
      <c r="S71" s="86">
        <f>IFERROR(IF(R71="",0,COUNTIFS(Tbl案件[承辦人],R71,Tbl案件[是否破獲],"是",Tbl案件[破獲時間],"&gt;="&amp;DATE(YEAR(今日),MONTH(今日),1),Tbl案件[破獲時間],"&lt;="&amp;EOMONTH(今日,0))),0)</f>
        <v/>
      </c>
    </row>
    <row r="72" hidden="1">
      <c r="A72" s="232" t="n"/>
      <c r="B72" s="232" t="n"/>
      <c r="C72" s="232" t="n"/>
      <c r="D72" s="232" t="n"/>
      <c r="E72" s="232" t="n"/>
      <c r="F72" s="232" t="n"/>
      <c r="G72" s="232" t="n"/>
      <c r="H72" s="232" t="n"/>
      <c r="I72" s="232" t="n"/>
      <c r="J72" s="232" t="n"/>
      <c r="K72" s="232" t="n"/>
      <c r="L72" s="232" t="n"/>
      <c r="M72" s="232" t="n"/>
      <c r="N72" s="232" t="n"/>
      <c r="R72" s="83">
        <f>IFERROR(IF(設定表!$B$46="","",設定表!$B$46),"")</f>
        <v/>
      </c>
      <c r="S72" s="86">
        <f>IFERROR(IF(R72="",0,COUNTIFS(Tbl案件[承辦人],R72,Tbl案件[是否破獲],"是",Tbl案件[破獲時間],"&gt;="&amp;DATE(YEAR(今日),MONTH(今日),1),Tbl案件[破獲時間],"&lt;="&amp;EOMONTH(今日,0))),0)</f>
        <v/>
      </c>
    </row>
    <row r="73" hidden="1">
      <c r="A73" s="232" t="n"/>
      <c r="B73" s="232" t="n"/>
      <c r="C73" s="232" t="n"/>
      <c r="D73" s="232" t="n"/>
      <c r="E73" s="232" t="n"/>
      <c r="F73" s="232" t="n"/>
      <c r="G73" s="232" t="n"/>
      <c r="H73" s="232" t="n"/>
      <c r="I73" s="232" t="n"/>
      <c r="J73" s="232" t="n"/>
      <c r="K73" s="232" t="n"/>
      <c r="L73" s="232" t="n"/>
      <c r="M73" s="232" t="n"/>
      <c r="N73" s="232" t="n"/>
      <c r="R73" s="83">
        <f>IFERROR(IF(設定表!$B$47="","",設定表!$B$47),"")</f>
        <v/>
      </c>
      <c r="S73" s="86">
        <f>IFERROR(IF(R73="",0,COUNTIFS(Tbl案件[承辦人],R73,Tbl案件[是否破獲],"是",Tbl案件[破獲時間],"&gt;="&amp;DATE(YEAR(今日),MONTH(今日),1),Tbl案件[破獲時間],"&lt;="&amp;EOMONTH(今日,0))),0)</f>
        <v/>
      </c>
    </row>
    <row r="74" hidden="1">
      <c r="A74" s="232" t="n"/>
      <c r="B74" s="232" t="n"/>
      <c r="C74" s="232" t="n"/>
      <c r="D74" s="232" t="n"/>
      <c r="E74" s="232" t="n"/>
      <c r="F74" s="232" t="n"/>
      <c r="G74" s="232" t="n"/>
      <c r="H74" s="232" t="n"/>
      <c r="I74" s="232" t="n"/>
      <c r="J74" s="232" t="n"/>
      <c r="K74" s="232" t="n"/>
      <c r="L74" s="232" t="n"/>
      <c r="M74" s="232" t="n"/>
      <c r="N74" s="232" t="n"/>
      <c r="R74" s="83">
        <f>IFERROR(IF(設定表!$B$48="","",設定表!$B$48),"")</f>
        <v/>
      </c>
      <c r="S74" s="86">
        <f>IFERROR(IF(R74="",0,COUNTIFS(Tbl案件[承辦人],R74,Tbl案件[是否破獲],"是",Tbl案件[破獲時間],"&gt;="&amp;DATE(YEAR(今日),MONTH(今日),1),Tbl案件[破獲時間],"&lt;="&amp;EOMONTH(今日,0))),0)</f>
        <v/>
      </c>
    </row>
    <row r="75" hidden="1">
      <c r="A75" s="232" t="n"/>
      <c r="B75" s="232" t="n"/>
      <c r="C75" s="232" t="n"/>
      <c r="D75" s="232" t="n"/>
      <c r="E75" s="232" t="n"/>
      <c r="F75" s="232" t="n"/>
      <c r="G75" s="232" t="n"/>
      <c r="H75" s="232" t="n"/>
      <c r="I75" s="232" t="n"/>
      <c r="J75" s="232" t="n"/>
      <c r="K75" s="232" t="n"/>
      <c r="L75" s="232" t="n"/>
      <c r="M75" s="232" t="n"/>
      <c r="N75" s="232" t="n"/>
      <c r="R75" s="83">
        <f>IFERROR(IF(設定表!$B$49="","",設定表!$B$49),"")</f>
        <v/>
      </c>
      <c r="S75" s="86">
        <f>IFERROR(IF(R75="",0,COUNTIFS(Tbl案件[承辦人],R75,Tbl案件[是否破獲],"是",Tbl案件[破獲時間],"&gt;="&amp;DATE(YEAR(今日),MONTH(今日),1),Tbl案件[破獲時間],"&lt;="&amp;EOMONTH(今日,0))),0)</f>
        <v/>
      </c>
    </row>
    <row r="76" hidden="1">
      <c r="A76" s="232" t="n"/>
      <c r="B76" s="232" t="n"/>
      <c r="C76" s="232" t="n"/>
      <c r="D76" s="232" t="n"/>
      <c r="E76" s="232" t="n"/>
      <c r="F76" s="232" t="n"/>
      <c r="G76" s="232" t="n"/>
      <c r="H76" s="232" t="n"/>
      <c r="I76" s="232" t="n"/>
      <c r="J76" s="232" t="n"/>
      <c r="K76" s="232" t="n"/>
      <c r="L76" s="232" t="n"/>
      <c r="M76" s="232" t="n"/>
      <c r="N76" s="232" t="n"/>
      <c r="R76" s="83">
        <f>IFERROR(IF(設定表!$B$50="","",設定表!$B$50),"")</f>
        <v/>
      </c>
      <c r="S76" s="86">
        <f>IFERROR(IF(R76="",0,COUNTIFS(Tbl案件[承辦人],R76,Tbl案件[是否破獲],"是",Tbl案件[破獲時間],"&gt;="&amp;DATE(YEAR(今日),MONTH(今日),1),Tbl案件[破獲時間],"&lt;="&amp;EOMONTH(今日,0))),0)</f>
        <v/>
      </c>
    </row>
    <row r="77" hidden="1">
      <c r="A77" s="232" t="n"/>
      <c r="B77" s="232" t="n"/>
      <c r="C77" s="232" t="n"/>
      <c r="D77" s="232" t="n"/>
      <c r="E77" s="232" t="n"/>
      <c r="F77" s="232" t="n"/>
      <c r="G77" s="232" t="n"/>
      <c r="H77" s="232" t="n"/>
      <c r="I77" s="232" t="n"/>
      <c r="J77" s="232" t="n"/>
      <c r="K77" s="232" t="n"/>
      <c r="L77" s="232" t="n"/>
      <c r="M77" s="232" t="n"/>
      <c r="N77" s="232" t="n"/>
      <c r="R77" s="83">
        <f>IFERROR(IF(設定表!$B$51="","",設定表!$B$51),"")</f>
        <v/>
      </c>
      <c r="S77" s="86">
        <f>IFERROR(IF(R77="",0,COUNTIFS(Tbl案件[承辦人],R77,Tbl案件[是否破獲],"是",Tbl案件[破獲時間],"&gt;="&amp;DATE(YEAR(今日),MONTH(今日),1),Tbl案件[破獲時間],"&lt;="&amp;EOMONTH(今日,0))),0)</f>
        <v/>
      </c>
    </row>
    <row r="78" hidden="1">
      <c r="A78" s="232" t="n"/>
      <c r="B78" s="232" t="n"/>
      <c r="C78" s="232" t="n"/>
      <c r="D78" s="232" t="n"/>
      <c r="E78" s="232" t="n"/>
      <c r="F78" s="232" t="n"/>
      <c r="G78" s="232" t="n"/>
      <c r="H78" s="232" t="n"/>
      <c r="I78" s="232" t="n"/>
      <c r="J78" s="232" t="n"/>
      <c r="K78" s="232" t="n"/>
      <c r="L78" s="232" t="n"/>
      <c r="M78" s="232" t="n"/>
      <c r="N78" s="232" t="n"/>
      <c r="R78" s="83">
        <f>IFERROR(IF(設定表!$B$52="","",設定表!$B$52),"")</f>
        <v/>
      </c>
      <c r="S78" s="86">
        <f>IFERROR(IF(R78="",0,COUNTIFS(Tbl案件[承辦人],R78,Tbl案件[是否破獲],"是",Tbl案件[破獲時間],"&gt;="&amp;DATE(YEAR(今日),MONTH(今日),1),Tbl案件[破獲時間],"&lt;="&amp;EOMONTH(今日,0))),0)</f>
        <v/>
      </c>
    </row>
    <row r="79" hidden="1">
      <c r="A79" s="232" t="n"/>
      <c r="B79" s="232" t="n"/>
      <c r="C79" s="232" t="n"/>
      <c r="D79" s="232" t="n"/>
      <c r="E79" s="232" t="n"/>
      <c r="F79" s="232" t="n"/>
      <c r="G79" s="232" t="n"/>
      <c r="H79" s="232" t="n"/>
      <c r="I79" s="232" t="n"/>
      <c r="J79" s="232" t="n"/>
      <c r="K79" s="232" t="n"/>
      <c r="L79" s="232" t="n"/>
      <c r="M79" s="232" t="n"/>
      <c r="N79" s="232" t="n"/>
      <c r="R79" s="83">
        <f>IFERROR(IF(設定表!$B$53="","",設定表!$B$53),"")</f>
        <v/>
      </c>
      <c r="S79" s="86">
        <f>IFERROR(IF(R79="",0,COUNTIFS(Tbl案件[承辦人],R79,Tbl案件[是否破獲],"是",Tbl案件[破獲時間],"&gt;="&amp;DATE(YEAR(今日),MONTH(今日),1),Tbl案件[破獲時間],"&lt;="&amp;EOMONTH(今日,0))),0)</f>
        <v/>
      </c>
    </row>
    <row r="80" hidden="1">
      <c r="A80" s="232" t="n"/>
      <c r="B80" s="232" t="n"/>
      <c r="C80" s="232" t="n"/>
      <c r="D80" s="232" t="n"/>
      <c r="E80" s="232" t="n"/>
      <c r="F80" s="232" t="n"/>
      <c r="G80" s="232" t="n"/>
      <c r="H80" s="232" t="n"/>
      <c r="I80" s="232" t="n"/>
      <c r="J80" s="232" t="n"/>
      <c r="K80" s="232" t="n"/>
      <c r="L80" s="232" t="n"/>
      <c r="M80" s="232" t="n"/>
      <c r="N80" s="232" t="n"/>
      <c r="R80" s="83">
        <f>IFERROR(IF(設定表!$B$54="","",設定表!$B$54),"")</f>
        <v/>
      </c>
      <c r="S80" s="86">
        <f>IFERROR(IF(R80="",0,COUNTIFS(Tbl案件[承辦人],R80,Tbl案件[是否破獲],"是",Tbl案件[破獲時間],"&gt;="&amp;DATE(YEAR(今日),MONTH(今日),1),Tbl案件[破獲時間],"&lt;="&amp;EOMONTH(今日,0))),0)</f>
        <v/>
      </c>
    </row>
    <row r="81" hidden="1">
      <c r="A81" s="232" t="n"/>
      <c r="B81" s="232" t="n"/>
      <c r="C81" s="232" t="n"/>
      <c r="D81" s="232" t="n"/>
      <c r="E81" s="232" t="n"/>
      <c r="F81" s="232" t="n"/>
      <c r="G81" s="232" t="n"/>
      <c r="H81" s="232" t="n"/>
      <c r="I81" s="232" t="n"/>
      <c r="J81" s="232" t="n"/>
      <c r="K81" s="232" t="n"/>
      <c r="L81" s="232" t="n"/>
      <c r="M81" s="232" t="n"/>
      <c r="N81" s="232" t="n"/>
      <c r="R81" s="83">
        <f>IFERROR(IF(設定表!$B$55="","",設定表!$B$55),"")</f>
        <v/>
      </c>
      <c r="S81" s="86">
        <f>IFERROR(IF(R81="",0,COUNTIFS(Tbl案件[承辦人],R81,Tbl案件[是否破獲],"是",Tbl案件[破獲時間],"&gt;="&amp;DATE(YEAR(今日),MONTH(今日),1),Tbl案件[破獲時間],"&lt;="&amp;EOMONTH(今日,0))),0)</f>
        <v/>
      </c>
    </row>
    <row r="82" hidden="1">
      <c r="A82" s="232" t="n"/>
      <c r="B82" s="232" t="n"/>
      <c r="C82" s="232" t="n"/>
      <c r="D82" s="232" t="n"/>
      <c r="E82" s="232" t="n"/>
      <c r="F82" s="232" t="n"/>
      <c r="G82" s="232" t="n"/>
      <c r="H82" s="232" t="n"/>
      <c r="I82" s="232" t="n"/>
      <c r="J82" s="232" t="n"/>
      <c r="K82" s="232" t="n"/>
      <c r="L82" s="232" t="n"/>
      <c r="M82" s="232" t="n"/>
      <c r="N82" s="232" t="n"/>
      <c r="R82" s="83">
        <f>IFERROR(IF(設定表!$B$56="","",設定表!$B$56),"")</f>
        <v/>
      </c>
      <c r="S82" s="86">
        <f>IFERROR(IF(R82="",0,COUNTIFS(Tbl案件[承辦人],R82,Tbl案件[是否破獲],"是",Tbl案件[破獲時間],"&gt;="&amp;DATE(YEAR(今日),MONTH(今日),1),Tbl案件[破獲時間],"&lt;="&amp;EOMONTH(今日,0))),0)</f>
        <v/>
      </c>
    </row>
    <row r="83" hidden="1">
      <c r="A83" s="232" t="n"/>
      <c r="B83" s="232" t="n"/>
      <c r="C83" s="232" t="n"/>
      <c r="D83" s="232" t="n"/>
      <c r="E83" s="232" t="n"/>
      <c r="F83" s="232" t="n"/>
      <c r="G83" s="232" t="n"/>
      <c r="H83" s="232" t="n"/>
      <c r="I83" s="232" t="n"/>
      <c r="J83" s="232" t="n"/>
      <c r="K83" s="232" t="n"/>
      <c r="L83" s="232" t="n"/>
      <c r="M83" s="232" t="n"/>
      <c r="N83" s="232" t="n"/>
      <c r="R83" s="83">
        <f>IFERROR(IF(設定表!$B$57="","",設定表!$B$57),"")</f>
        <v/>
      </c>
      <c r="S83" s="86">
        <f>IFERROR(IF(R83="",0,COUNTIFS(Tbl案件[承辦人],R83,Tbl案件[是否破獲],"是",Tbl案件[破獲時間],"&gt;="&amp;DATE(YEAR(今日),MONTH(今日),1),Tbl案件[破獲時間],"&lt;="&amp;EOMONTH(今日,0))),0)</f>
        <v/>
      </c>
    </row>
    <row r="84" hidden="1">
      <c r="A84" s="232" t="n"/>
      <c r="B84" s="232" t="n"/>
      <c r="C84" s="232" t="n"/>
      <c r="D84" s="232" t="n"/>
      <c r="E84" s="232" t="n"/>
      <c r="F84" s="232" t="n"/>
      <c r="G84" s="232" t="n"/>
      <c r="H84" s="232" t="n"/>
      <c r="I84" s="232" t="n"/>
      <c r="J84" s="232" t="n"/>
      <c r="K84" s="232" t="n"/>
      <c r="L84" s="232" t="n"/>
      <c r="M84" s="232" t="n"/>
      <c r="N84" s="232" t="n"/>
      <c r="R84" s="83">
        <f>IFERROR(IF(設定表!$B$58="","",設定表!$B$58),"")</f>
        <v/>
      </c>
      <c r="S84" s="86">
        <f>IFERROR(IF(R84="",0,COUNTIFS(Tbl案件[承辦人],R84,Tbl案件[是否破獲],"是",Tbl案件[破獲時間],"&gt;="&amp;DATE(YEAR(今日),MONTH(今日),1),Tbl案件[破獲時間],"&lt;="&amp;EOMONTH(今日,0))),0)</f>
        <v/>
      </c>
    </row>
    <row r="85" hidden="1">
      <c r="A85" s="232" t="n"/>
      <c r="B85" s="232" t="n"/>
      <c r="C85" s="232" t="n"/>
      <c r="D85" s="232" t="n"/>
      <c r="E85" s="232" t="n"/>
      <c r="F85" s="232" t="n"/>
      <c r="G85" s="232" t="n"/>
      <c r="H85" s="232" t="n"/>
      <c r="I85" s="232" t="n"/>
      <c r="J85" s="232" t="n"/>
      <c r="K85" s="232" t="n"/>
      <c r="L85" s="232" t="n"/>
      <c r="M85" s="232" t="n"/>
      <c r="N85" s="232" t="n"/>
      <c r="R85" s="83">
        <f>IFERROR(IF(設定表!$B$59="","",設定表!$B$59),"")</f>
        <v/>
      </c>
      <c r="S85" s="86">
        <f>IFERROR(IF(R85="",0,COUNTIFS(Tbl案件[承辦人],R85,Tbl案件[是否破獲],"是",Tbl案件[破獲時間],"&gt;="&amp;DATE(YEAR(今日),MONTH(今日),1),Tbl案件[破獲時間],"&lt;="&amp;EOMONTH(今日,0))),0)</f>
        <v/>
      </c>
    </row>
    <row r="86" hidden="1">
      <c r="A86" s="232" t="n"/>
      <c r="B86" s="232" t="n"/>
      <c r="C86" s="232" t="n"/>
      <c r="D86" s="232" t="n"/>
      <c r="E86" s="232" t="n"/>
      <c r="F86" s="232" t="n"/>
      <c r="G86" s="232" t="n"/>
      <c r="H86" s="232" t="n"/>
      <c r="I86" s="232" t="n"/>
      <c r="J86" s="232" t="n"/>
      <c r="K86" s="232" t="n"/>
      <c r="L86" s="232" t="n"/>
      <c r="M86" s="232" t="n"/>
      <c r="N86" s="232" t="n"/>
      <c r="R86" s="83">
        <f>IFERROR(IF(設定表!$B$60="","",設定表!$B$60),"")</f>
        <v/>
      </c>
      <c r="S86" s="86">
        <f>IFERROR(IF(R86="",0,COUNTIFS(Tbl案件[承辦人],R86,Tbl案件[是否破獲],"是",Tbl案件[破獲時間],"&gt;="&amp;DATE(YEAR(今日),MONTH(今日),1),Tbl案件[破獲時間],"&lt;="&amp;EOMONTH(今日,0))),0)</f>
        <v/>
      </c>
    </row>
    <row r="87" hidden="1">
      <c r="A87" s="232" t="n"/>
      <c r="B87" s="232" t="n"/>
      <c r="C87" s="232" t="n"/>
      <c r="D87" s="232" t="n"/>
      <c r="E87" s="232" t="n"/>
      <c r="F87" s="232" t="n"/>
      <c r="G87" s="232" t="n"/>
      <c r="H87" s="232" t="n"/>
      <c r="I87" s="232" t="n"/>
      <c r="J87" s="232" t="n"/>
      <c r="K87" s="232" t="n"/>
      <c r="L87" s="232" t="n"/>
      <c r="M87" s="232" t="n"/>
      <c r="N87" s="232" t="n"/>
      <c r="R87" s="83">
        <f>IFERROR(IF(設定表!$B$61="","",設定表!$B$61),"")</f>
        <v/>
      </c>
      <c r="S87" s="86">
        <f>IFERROR(IF(R87="",0,COUNTIFS(Tbl案件[承辦人],R87,Tbl案件[是否破獲],"是",Tbl案件[破獲時間],"&gt;="&amp;DATE(YEAR(今日),MONTH(今日),1),Tbl案件[破獲時間],"&lt;="&amp;EOMONTH(今日,0))),0)</f>
        <v/>
      </c>
    </row>
    <row r="88" hidden="1">
      <c r="A88" s="232" t="n"/>
      <c r="B88" s="232" t="n"/>
      <c r="C88" s="232" t="n"/>
      <c r="D88" s="232" t="n"/>
      <c r="E88" s="232" t="n"/>
      <c r="F88" s="232" t="n"/>
      <c r="G88" s="232" t="n"/>
      <c r="H88" s="232" t="n"/>
      <c r="I88" s="232" t="n"/>
      <c r="J88" s="232" t="n"/>
      <c r="K88" s="232" t="n"/>
      <c r="L88" s="232" t="n"/>
      <c r="M88" s="232" t="n"/>
      <c r="N88" s="232" t="n"/>
      <c r="R88" s="83">
        <f>IFERROR(IF(設定表!$B$62="","",設定表!$B$62),"")</f>
        <v/>
      </c>
      <c r="S88" s="86">
        <f>IFERROR(IF(R88="",0,COUNTIFS(Tbl案件[承辦人],R88,Tbl案件[是否破獲],"是",Tbl案件[破獲時間],"&gt;="&amp;DATE(YEAR(今日),MONTH(今日),1),Tbl案件[破獲時間],"&lt;="&amp;EOMONTH(今日,0))),0)</f>
        <v/>
      </c>
    </row>
    <row r="89" hidden="1">
      <c r="A89" s="232" t="n"/>
      <c r="B89" s="232" t="n"/>
      <c r="C89" s="232" t="n"/>
      <c r="D89" s="232" t="n"/>
      <c r="E89" s="232" t="n"/>
      <c r="F89" s="232" t="n"/>
      <c r="G89" s="232" t="n"/>
      <c r="H89" s="232" t="n"/>
      <c r="I89" s="232" t="n"/>
      <c r="J89" s="232" t="n"/>
      <c r="K89" s="232" t="n"/>
      <c r="L89" s="232" t="n"/>
      <c r="M89" s="232" t="n"/>
      <c r="N89" s="232" t="n"/>
      <c r="R89" s="83">
        <f>IFERROR(IF(設定表!$B$63="","",設定表!$B$63),"")</f>
        <v/>
      </c>
      <c r="S89" s="86">
        <f>IFERROR(IF(R89="",0,COUNTIFS(Tbl案件[承辦人],R89,Tbl案件[是否破獲],"是",Tbl案件[破獲時間],"&gt;="&amp;DATE(YEAR(今日),MONTH(今日),1),Tbl案件[破獲時間],"&lt;="&amp;EOMONTH(今日,0))),0)</f>
        <v/>
      </c>
    </row>
    <row r="90" hidden="1">
      <c r="A90" s="232" t="n"/>
      <c r="B90" s="232" t="n"/>
      <c r="C90" s="232" t="n"/>
      <c r="D90" s="232" t="n"/>
      <c r="E90" s="232" t="n"/>
      <c r="F90" s="232" t="n"/>
      <c r="G90" s="232" t="n"/>
      <c r="H90" s="232" t="n"/>
      <c r="I90" s="232" t="n"/>
      <c r="J90" s="232" t="n"/>
      <c r="K90" s="232" t="n"/>
      <c r="L90" s="232" t="n"/>
      <c r="M90" s="232" t="n"/>
      <c r="N90" s="232" t="n"/>
      <c r="R90" s="83">
        <f>IFERROR(IF(設定表!$B$64="","",設定表!$B$64),"")</f>
        <v/>
      </c>
      <c r="S90" s="86">
        <f>IFERROR(IF(R90="",0,COUNTIFS(Tbl案件[承辦人],R90,Tbl案件[是否破獲],"是",Tbl案件[破獲時間],"&gt;="&amp;DATE(YEAR(今日),MONTH(今日),1),Tbl案件[破獲時間],"&lt;="&amp;EOMONTH(今日,0))),0)</f>
        <v/>
      </c>
    </row>
    <row r="91" hidden="1">
      <c r="A91" s="232" t="n"/>
      <c r="B91" s="232" t="n"/>
      <c r="C91" s="232" t="n"/>
      <c r="D91" s="232" t="n"/>
      <c r="E91" s="232" t="n"/>
      <c r="F91" s="232" t="n"/>
      <c r="G91" s="232" t="n"/>
      <c r="H91" s="232" t="n"/>
      <c r="I91" s="232" t="n"/>
      <c r="J91" s="232" t="n"/>
      <c r="K91" s="232" t="n"/>
      <c r="L91" s="232" t="n"/>
      <c r="M91" s="232" t="n"/>
      <c r="N91" s="232" t="n"/>
      <c r="R91" s="83">
        <f>IFERROR(IF(設定表!$B$65="","",設定表!$B$65),"")</f>
        <v/>
      </c>
      <c r="S91" s="86">
        <f>IFERROR(IF(R91="",0,COUNTIFS(Tbl案件[承辦人],R91,Tbl案件[是否破獲],"是",Tbl案件[破獲時間],"&gt;="&amp;DATE(YEAR(今日),MONTH(今日),1),Tbl案件[破獲時間],"&lt;="&amp;EOMONTH(今日,0))),0)</f>
        <v/>
      </c>
    </row>
    <row r="92" hidden="1">
      <c r="A92" s="232" t="n"/>
      <c r="B92" s="232" t="n"/>
      <c r="C92" s="232" t="n"/>
      <c r="D92" s="232" t="n"/>
      <c r="E92" s="232" t="n"/>
      <c r="F92" s="232" t="n"/>
      <c r="G92" s="232" t="n"/>
      <c r="H92" s="232" t="n"/>
      <c r="I92" s="232" t="n"/>
      <c r="J92" s="232" t="n"/>
      <c r="K92" s="232" t="n"/>
      <c r="L92" s="232" t="n"/>
      <c r="M92" s="232" t="n"/>
      <c r="N92" s="232" t="n"/>
      <c r="R92" s="83">
        <f>IFERROR(IF(設定表!$B$66="","",設定表!$B$66),"")</f>
        <v/>
      </c>
      <c r="S92" s="86">
        <f>IFERROR(IF(R92="",0,COUNTIFS(Tbl案件[承辦人],R92,Tbl案件[是否破獲],"是",Tbl案件[破獲時間],"&gt;="&amp;DATE(YEAR(今日),MONTH(今日),1),Tbl案件[破獲時間],"&lt;="&amp;EOMONTH(今日,0))),0)</f>
        <v/>
      </c>
    </row>
    <row r="93" hidden="1">
      <c r="A93" s="232" t="n"/>
      <c r="B93" s="232" t="n"/>
      <c r="C93" s="232" t="n"/>
      <c r="D93" s="232" t="n"/>
      <c r="E93" s="232" t="n"/>
      <c r="F93" s="232" t="n"/>
      <c r="G93" s="232" t="n"/>
      <c r="H93" s="232" t="n"/>
      <c r="I93" s="232" t="n"/>
      <c r="J93" s="232" t="n"/>
      <c r="K93" s="232" t="n"/>
      <c r="L93" s="232" t="n"/>
      <c r="M93" s="232" t="n"/>
      <c r="N93" s="232" t="n"/>
      <c r="R93" s="83">
        <f>IFERROR(IF(設定表!$B$67="","",設定表!$B$67),"")</f>
        <v/>
      </c>
      <c r="S93" s="86">
        <f>IFERROR(IF(R93="",0,COUNTIFS(Tbl案件[承辦人],R93,Tbl案件[是否破獲],"是",Tbl案件[破獲時間],"&gt;="&amp;DATE(YEAR(今日),MONTH(今日),1),Tbl案件[破獲時間],"&lt;="&amp;EOMONTH(今日,0))),0)</f>
        <v/>
      </c>
    </row>
    <row r="94" hidden="1">
      <c r="A94" s="232" t="n"/>
      <c r="B94" s="232" t="n"/>
      <c r="C94" s="232" t="n"/>
      <c r="D94" s="232" t="n"/>
      <c r="E94" s="232" t="n"/>
      <c r="F94" s="232" t="n"/>
      <c r="G94" s="232" t="n"/>
      <c r="H94" s="232" t="n"/>
      <c r="I94" s="232" t="n"/>
      <c r="J94" s="232" t="n"/>
      <c r="K94" s="232" t="n"/>
      <c r="L94" s="232" t="n"/>
      <c r="M94" s="232" t="n"/>
      <c r="N94" s="232" t="n"/>
      <c r="R94" s="83">
        <f>IFERROR(IF(設定表!$B$68="","",設定表!$B$68),"")</f>
        <v/>
      </c>
      <c r="S94" s="86">
        <f>IFERROR(IF(R94="",0,COUNTIFS(Tbl案件[承辦人],R94,Tbl案件[是否破獲],"是",Tbl案件[破獲時間],"&gt;="&amp;DATE(YEAR(今日),MONTH(今日),1),Tbl案件[破獲時間],"&lt;="&amp;EOMONTH(今日,0))),0)</f>
        <v/>
      </c>
    </row>
    <row r="95" hidden="1">
      <c r="A95" s="232" t="n"/>
      <c r="B95" s="232" t="n"/>
      <c r="C95" s="232" t="n"/>
      <c r="D95" s="232" t="n"/>
      <c r="E95" s="232" t="n"/>
      <c r="F95" s="232" t="n"/>
      <c r="G95" s="232" t="n"/>
      <c r="H95" s="232" t="n"/>
      <c r="I95" s="232" t="n"/>
      <c r="J95" s="232" t="n"/>
      <c r="K95" s="232" t="n"/>
      <c r="L95" s="232" t="n"/>
      <c r="M95" s="232" t="n"/>
      <c r="N95" s="232" t="n"/>
      <c r="R95" s="83">
        <f>IFERROR(IF(設定表!$B$69="","",設定表!$B$69),"")</f>
        <v/>
      </c>
      <c r="S95" s="86">
        <f>IFERROR(IF(R95="",0,COUNTIFS(Tbl案件[承辦人],R95,Tbl案件[是否破獲],"是",Tbl案件[破獲時間],"&gt;="&amp;DATE(YEAR(今日),MONTH(今日),1),Tbl案件[破獲時間],"&lt;="&amp;EOMONTH(今日,0))),0)</f>
        <v/>
      </c>
    </row>
    <row r="96" hidden="1">
      <c r="A96" s="232" t="n"/>
      <c r="B96" s="232" t="n"/>
      <c r="C96" s="232" t="n"/>
      <c r="D96" s="232" t="n"/>
      <c r="E96" s="232" t="n"/>
      <c r="F96" s="232" t="n"/>
      <c r="G96" s="232" t="n"/>
      <c r="H96" s="232" t="n"/>
      <c r="I96" s="232" t="n"/>
      <c r="J96" s="232" t="n"/>
      <c r="K96" s="232" t="n"/>
      <c r="L96" s="232" t="n"/>
      <c r="M96" s="232" t="n"/>
      <c r="N96" s="232" t="n"/>
      <c r="R96" s="83">
        <f>IFERROR(IF(設定表!$B$70="","",設定表!$B$70),"")</f>
        <v/>
      </c>
      <c r="S96" s="86">
        <f>IFERROR(IF(R96="",0,COUNTIFS(Tbl案件[承辦人],R96,Tbl案件[是否破獲],"是",Tbl案件[破獲時間],"&gt;="&amp;DATE(YEAR(今日),MONTH(今日),1),Tbl案件[破獲時間],"&lt;="&amp;EOMONTH(今日,0))),0)</f>
        <v/>
      </c>
    </row>
    <row r="97" hidden="1">
      <c r="A97" s="232" t="n"/>
      <c r="B97" s="232" t="n"/>
      <c r="C97" s="232" t="n"/>
      <c r="D97" s="232" t="n"/>
      <c r="E97" s="232" t="n"/>
      <c r="F97" s="232" t="n"/>
      <c r="G97" s="232" t="n"/>
      <c r="H97" s="232" t="n"/>
      <c r="I97" s="232" t="n"/>
      <c r="J97" s="232" t="n"/>
      <c r="K97" s="232" t="n"/>
      <c r="L97" s="232" t="n"/>
      <c r="M97" s="232" t="n"/>
      <c r="N97" s="232" t="n"/>
      <c r="R97" s="83">
        <f>IFERROR(IF(設定表!$B$71="","",設定表!$B$71),"")</f>
        <v/>
      </c>
      <c r="S97" s="86">
        <f>IFERROR(IF(R97="",0,COUNTIFS(Tbl案件[承辦人],R97,Tbl案件[是否破獲],"是",Tbl案件[破獲時間],"&gt;="&amp;DATE(YEAR(今日),MONTH(今日),1),Tbl案件[破獲時間],"&lt;="&amp;EOMONTH(今日,0))),0)</f>
        <v/>
      </c>
    </row>
    <row r="98" hidden="1">
      <c r="A98" s="232" t="n"/>
      <c r="B98" s="232" t="n"/>
      <c r="C98" s="232" t="n"/>
      <c r="D98" s="232" t="n"/>
      <c r="E98" s="232" t="n"/>
      <c r="F98" s="232" t="n"/>
      <c r="G98" s="232" t="n"/>
      <c r="H98" s="232" t="n"/>
      <c r="I98" s="232" t="n"/>
      <c r="J98" s="232" t="n"/>
      <c r="K98" s="232" t="n"/>
      <c r="L98" s="232" t="n"/>
      <c r="M98" s="232" t="n"/>
      <c r="N98" s="232" t="n"/>
      <c r="R98" s="83">
        <f>IFERROR(IF(設定表!$B$72="","",設定表!$B$72),"")</f>
        <v/>
      </c>
      <c r="S98" s="86">
        <f>IFERROR(IF(R98="",0,COUNTIFS(Tbl案件[承辦人],R98,Tbl案件[是否破獲],"是",Tbl案件[破獲時間],"&gt;="&amp;DATE(YEAR(今日),MONTH(今日),1),Tbl案件[破獲時間],"&lt;="&amp;EOMONTH(今日,0))),0)</f>
        <v/>
      </c>
    </row>
    <row r="99" hidden="1">
      <c r="A99" s="232" t="n"/>
      <c r="B99" s="232" t="n"/>
      <c r="C99" s="232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  <c r="M99" s="232" t="n"/>
      <c r="N99" s="232" t="n"/>
      <c r="R99" s="83">
        <f>IFERROR(IF(設定表!$B$73="","",設定表!$B$73),"")</f>
        <v/>
      </c>
      <c r="S99" s="86">
        <f>IFERROR(IF(R99="",0,COUNTIFS(Tbl案件[承辦人],R99,Tbl案件[是否破獲],"是",Tbl案件[破獲時間],"&gt;="&amp;DATE(YEAR(今日),MONTH(今日),1),Tbl案件[破獲時間],"&lt;="&amp;EOMONTH(今日,0))),0)</f>
        <v/>
      </c>
    </row>
    <row r="100" hidden="1">
      <c r="A100" s="232" t="n"/>
      <c r="B100" s="232" t="n"/>
      <c r="C100" s="232" t="n"/>
      <c r="D100" s="232" t="n"/>
      <c r="E100" s="232" t="n"/>
      <c r="F100" s="232" t="n"/>
      <c r="G100" s="232" t="n"/>
      <c r="H100" s="232" t="n"/>
      <c r="I100" s="232" t="n"/>
      <c r="J100" s="232" t="n"/>
      <c r="K100" s="232" t="n"/>
      <c r="L100" s="232" t="n"/>
      <c r="M100" s="232" t="n"/>
      <c r="N100" s="232" t="n"/>
      <c r="R100" s="83">
        <f>IFERROR(IF(設定表!$B$74="","",設定表!$B$74),"")</f>
        <v/>
      </c>
      <c r="S100" s="86">
        <f>IFERROR(IF(R100="",0,COUNTIFS(Tbl案件[承辦人],R100,Tbl案件[是否破獲],"是",Tbl案件[破獲時間],"&gt;="&amp;DATE(YEAR(今日),MONTH(今日),1),Tbl案件[破獲時間],"&lt;="&amp;EOMONTH(今日,0))),0)</f>
        <v/>
      </c>
    </row>
    <row r="101" hidden="1">
      <c r="A101" s="232" t="n"/>
      <c r="B101" s="232" t="n"/>
      <c r="C101" s="232" t="n"/>
      <c r="D101" s="232" t="n"/>
      <c r="E101" s="232" t="n"/>
      <c r="F101" s="232" t="n"/>
      <c r="G101" s="232" t="n"/>
      <c r="H101" s="232" t="n"/>
      <c r="I101" s="232" t="n"/>
      <c r="J101" s="232" t="n"/>
      <c r="K101" s="232" t="n"/>
      <c r="L101" s="232" t="n"/>
      <c r="M101" s="232" t="n"/>
      <c r="N101" s="232" t="n"/>
      <c r="R101" s="83">
        <f>IFERROR(IF(設定表!$B$75="","",設定表!$B$75),"")</f>
        <v/>
      </c>
      <c r="S101" s="86">
        <f>IFERROR(IF(R101="",0,COUNTIFS(Tbl案件[承辦人],R101,Tbl案件[是否破獲],"是",Tbl案件[破獲時間],"&gt;="&amp;DATE(YEAR(今日),MONTH(今日),1),Tbl案件[破獲時間],"&lt;="&amp;EOMONTH(今日,0))),0)</f>
        <v/>
      </c>
    </row>
    <row r="102" hidden="1">
      <c r="A102" s="232" t="n"/>
      <c r="B102" s="232" t="n"/>
      <c r="C102" s="232" t="n"/>
      <c r="D102" s="232" t="n"/>
      <c r="E102" s="232" t="n"/>
      <c r="F102" s="232" t="n"/>
      <c r="G102" s="232" t="n"/>
      <c r="H102" s="232" t="n"/>
      <c r="I102" s="232" t="n"/>
      <c r="J102" s="232" t="n"/>
      <c r="K102" s="232" t="n"/>
      <c r="L102" s="232" t="n"/>
      <c r="M102" s="232" t="n"/>
      <c r="N102" s="232" t="n"/>
      <c r="R102" s="83">
        <f>IFERROR(IF(設定表!$B$76="","",設定表!$B$76),"")</f>
        <v/>
      </c>
      <c r="S102" s="86">
        <f>IFERROR(IF(R102="",0,COUNTIFS(Tbl案件[承辦人],R102,Tbl案件[是否破獲],"是",Tbl案件[破獲時間],"&gt;="&amp;DATE(YEAR(今日),MONTH(今日),1),Tbl案件[破獲時間],"&lt;="&amp;EOMONTH(今日,0))),0)</f>
        <v/>
      </c>
    </row>
    <row r="103" hidden="1">
      <c r="A103" s="232" t="n"/>
      <c r="B103" s="232" t="n"/>
      <c r="C103" s="232" t="n"/>
      <c r="D103" s="232" t="n"/>
      <c r="E103" s="232" t="n"/>
      <c r="F103" s="232" t="n"/>
      <c r="G103" s="232" t="n"/>
      <c r="H103" s="232" t="n"/>
      <c r="I103" s="232" t="n"/>
      <c r="J103" s="232" t="n"/>
      <c r="K103" s="232" t="n"/>
      <c r="L103" s="232" t="n"/>
      <c r="M103" s="232" t="n"/>
      <c r="N103" s="232" t="n"/>
      <c r="R103" s="83">
        <f>IFERROR(IF(設定表!$B$77="","",設定表!$B$77),"")</f>
        <v/>
      </c>
      <c r="S103" s="86">
        <f>IFERROR(IF(R103="",0,COUNTIFS(Tbl案件[承辦人],R103,Tbl案件[是否破獲],"是",Tbl案件[破獲時間],"&gt;="&amp;DATE(YEAR(今日),MONTH(今日),1),Tbl案件[破獲時間],"&lt;="&amp;EOMONTH(今日,0))),0)</f>
        <v/>
      </c>
    </row>
    <row r="104" hidden="1">
      <c r="A104" s="232" t="n"/>
      <c r="B104" s="232" t="n"/>
      <c r="C104" s="232" t="n"/>
      <c r="D104" s="232" t="n"/>
      <c r="E104" s="232" t="n"/>
      <c r="F104" s="232" t="n"/>
      <c r="G104" s="232" t="n"/>
      <c r="H104" s="232" t="n"/>
      <c r="I104" s="232" t="n"/>
      <c r="J104" s="232" t="n"/>
      <c r="K104" s="232" t="n"/>
      <c r="L104" s="232" t="n"/>
      <c r="M104" s="232" t="n"/>
      <c r="N104" s="232" t="n"/>
      <c r="R104" s="83">
        <f>IFERROR(IF(設定表!$B$78="","",設定表!$B$78),"")</f>
        <v/>
      </c>
      <c r="S104" s="86">
        <f>IFERROR(IF(R104="",0,COUNTIFS(Tbl案件[承辦人],R104,Tbl案件[是否破獲],"是",Tbl案件[破獲時間],"&gt;="&amp;DATE(YEAR(今日),MONTH(今日),1),Tbl案件[破獲時間],"&lt;="&amp;EOMONTH(今日,0))),0)</f>
        <v/>
      </c>
    </row>
    <row r="105" hidden="1">
      <c r="A105" s="232" t="n"/>
      <c r="B105" s="232" t="n"/>
      <c r="C105" s="232" t="n"/>
      <c r="D105" s="232" t="n"/>
      <c r="E105" s="232" t="n"/>
      <c r="F105" s="232" t="n"/>
      <c r="G105" s="232" t="n"/>
      <c r="H105" s="232" t="n"/>
      <c r="I105" s="232" t="n"/>
      <c r="J105" s="232" t="n"/>
      <c r="K105" s="232" t="n"/>
      <c r="L105" s="232" t="n"/>
      <c r="M105" s="232" t="n"/>
      <c r="N105" s="232" t="n"/>
      <c r="R105" s="83">
        <f>IFERROR(IF(設定表!$B$79="","",設定表!$B$79),"")</f>
        <v/>
      </c>
      <c r="S105" s="86">
        <f>IFERROR(IF(R105="",0,COUNTIFS(Tbl案件[承辦人],R105,Tbl案件[是否破獲],"是",Tbl案件[破獲時間],"&gt;="&amp;DATE(YEAR(今日),MONTH(今日),1),Tbl案件[破獲時間],"&lt;="&amp;EOMONTH(今日,0))),0)</f>
        <v/>
      </c>
    </row>
    <row r="106" hidden="1">
      <c r="A106" s="232" t="n"/>
      <c r="B106" s="232" t="n"/>
      <c r="C106" s="232" t="n"/>
      <c r="D106" s="232" t="n"/>
      <c r="E106" s="232" t="n"/>
      <c r="F106" s="232" t="n"/>
      <c r="G106" s="232" t="n"/>
      <c r="H106" s="232" t="n"/>
      <c r="I106" s="232" t="n"/>
      <c r="J106" s="232" t="n"/>
      <c r="K106" s="232" t="n"/>
      <c r="L106" s="232" t="n"/>
      <c r="M106" s="232" t="n"/>
      <c r="N106" s="232" t="n"/>
      <c r="R106" s="83">
        <f>IFERROR(IF(設定表!$B$80="","",設定表!$B$80),"")</f>
        <v/>
      </c>
      <c r="S106" s="86">
        <f>IFERROR(IF(R106="",0,COUNTIFS(Tbl案件[承辦人],R106,Tbl案件[是否破獲],"是",Tbl案件[破獲時間],"&gt;="&amp;DATE(YEAR(今日),MONTH(今日),1),Tbl案件[破獲時間],"&lt;="&amp;EOMONTH(今日,0))),0)</f>
        <v/>
      </c>
    </row>
    <row r="107" hidden="1">
      <c r="A107" s="232" t="n"/>
      <c r="B107" s="232" t="n"/>
      <c r="C107" s="232" t="n"/>
      <c r="D107" s="232" t="n"/>
      <c r="E107" s="232" t="n"/>
      <c r="F107" s="232" t="n"/>
      <c r="G107" s="232" t="n"/>
      <c r="H107" s="232" t="n"/>
      <c r="I107" s="232" t="n"/>
      <c r="J107" s="232" t="n"/>
      <c r="K107" s="232" t="n"/>
      <c r="L107" s="232" t="n"/>
      <c r="M107" s="232" t="n"/>
      <c r="N107" s="232" t="n"/>
      <c r="R107" s="83">
        <f>IFERROR(IF(設定表!$B$81="","",設定表!$B$81),"")</f>
        <v/>
      </c>
      <c r="S107" s="86">
        <f>IFERROR(IF(R107="",0,COUNTIFS(Tbl案件[承辦人],R107,Tbl案件[是否破獲],"是",Tbl案件[破獲時間],"&gt;="&amp;DATE(YEAR(今日),MONTH(今日),1),Tbl案件[破獲時間],"&lt;="&amp;EOMONTH(今日,0))),0)</f>
        <v/>
      </c>
    </row>
    <row r="108" hidden="1">
      <c r="A108" s="232" t="n"/>
      <c r="B108" s="232" t="n"/>
      <c r="C108" s="232" t="n"/>
      <c r="D108" s="232" t="n"/>
      <c r="E108" s="232" t="n"/>
      <c r="F108" s="232" t="n"/>
      <c r="G108" s="232" t="n"/>
      <c r="H108" s="232" t="n"/>
      <c r="I108" s="232" t="n"/>
      <c r="J108" s="232" t="n"/>
      <c r="K108" s="232" t="n"/>
      <c r="L108" s="232" t="n"/>
      <c r="M108" s="232" t="n"/>
      <c r="N108" s="232" t="n"/>
      <c r="R108" s="83">
        <f>IFERROR(IF(設定表!$B$82="","",設定表!$B$82),"")</f>
        <v/>
      </c>
      <c r="S108" s="86">
        <f>IFERROR(IF(R108="",0,COUNTIFS(Tbl案件[承辦人],R108,Tbl案件[是否破獲],"是",Tbl案件[破獲時間],"&gt;="&amp;DATE(YEAR(今日),MONTH(今日),1),Tbl案件[破獲時間],"&lt;="&amp;EOMONTH(今日,0))),0)</f>
        <v/>
      </c>
    </row>
    <row r="109" hidden="1">
      <c r="A109" s="232" t="n"/>
      <c r="B109" s="232" t="n"/>
      <c r="C109" s="232" t="n"/>
      <c r="D109" s="232" t="n"/>
      <c r="E109" s="232" t="n"/>
      <c r="F109" s="232" t="n"/>
      <c r="G109" s="232" t="n"/>
      <c r="H109" s="232" t="n"/>
      <c r="I109" s="232" t="n"/>
      <c r="J109" s="232" t="n"/>
      <c r="K109" s="232" t="n"/>
      <c r="L109" s="232" t="n"/>
      <c r="M109" s="232" t="n"/>
      <c r="N109" s="232" t="n"/>
      <c r="R109" s="83">
        <f>IFERROR(IF(設定表!$B$83="","",設定表!$B$83),"")</f>
        <v/>
      </c>
      <c r="S109" s="86">
        <f>IFERROR(IF(R109="",0,COUNTIFS(Tbl案件[承辦人],R109,Tbl案件[是否破獲],"是",Tbl案件[破獲時間],"&gt;="&amp;DATE(YEAR(今日),MONTH(今日),1),Tbl案件[破獲時間],"&lt;="&amp;EOMONTH(今日,0))),0)</f>
        <v/>
      </c>
    </row>
    <row r="110" hidden="1">
      <c r="A110" s="232" t="n"/>
      <c r="B110" s="232" t="n"/>
      <c r="C110" s="232" t="n"/>
      <c r="D110" s="232" t="n"/>
      <c r="E110" s="232" t="n"/>
      <c r="F110" s="232" t="n"/>
      <c r="G110" s="232" t="n"/>
      <c r="H110" s="232" t="n"/>
      <c r="I110" s="232" t="n"/>
      <c r="J110" s="232" t="n"/>
      <c r="K110" s="232" t="n"/>
      <c r="L110" s="232" t="n"/>
      <c r="M110" s="232" t="n"/>
      <c r="N110" s="232" t="n"/>
    </row>
    <row r="111">
      <c r="A111" s="232" t="n"/>
      <c r="B111" s="232" t="n"/>
      <c r="C111" s="232" t="n"/>
      <c r="D111" s="232" t="n"/>
      <c r="E111" s="232" t="n"/>
      <c r="F111" s="232" t="n"/>
      <c r="G111" s="232" t="n"/>
      <c r="H111" s="232" t="n"/>
      <c r="I111" s="232" t="n"/>
      <c r="J111" s="232" t="n"/>
      <c r="K111" s="232" t="n"/>
      <c r="L111" s="232" t="n"/>
      <c r="M111" s="232" t="n"/>
      <c r="N111" s="232" t="n"/>
    </row>
    <row r="112">
      <c r="A112" s="232" t="n"/>
      <c r="B112" s="232" t="n"/>
      <c r="C112" s="232" t="n"/>
      <c r="D112" s="232" t="n"/>
      <c r="E112" s="232" t="n"/>
      <c r="F112" s="232" t="n"/>
      <c r="G112" s="232" t="n"/>
      <c r="H112" s="232" t="n"/>
      <c r="I112" s="232" t="n"/>
      <c r="J112" s="232" t="n"/>
      <c r="K112" s="232" t="n"/>
      <c r="L112" s="232" t="n"/>
      <c r="M112" s="232" t="n"/>
      <c r="N112" s="232" t="n"/>
    </row>
    <row r="113">
      <c r="A113" s="232" t="n"/>
      <c r="B113" s="232" t="n"/>
      <c r="C113" s="232" t="n"/>
      <c r="D113" s="232" t="n"/>
      <c r="E113" s="232" t="n"/>
      <c r="F113" s="232" t="n"/>
      <c r="G113" s="232" t="n"/>
      <c r="H113" s="232" t="n"/>
      <c r="I113" s="232" t="n"/>
      <c r="J113" s="232" t="n"/>
      <c r="K113" s="232" t="n"/>
      <c r="L113" s="232" t="n"/>
      <c r="M113" s="232" t="n"/>
      <c r="N113" s="232" t="n"/>
    </row>
    <row r="114">
      <c r="A114" s="232" t="n"/>
      <c r="B114" s="232" t="n"/>
      <c r="C114" s="232" t="n"/>
      <c r="D114" s="232" t="n"/>
      <c r="E114" s="232" t="n"/>
      <c r="F114" s="232" t="n"/>
      <c r="G114" s="232" t="n"/>
      <c r="H114" s="232" t="n"/>
      <c r="I114" s="232" t="n"/>
      <c r="J114" s="232" t="n"/>
      <c r="K114" s="232" t="n"/>
      <c r="L114" s="232" t="n"/>
      <c r="M114" s="232" t="n"/>
      <c r="N114" s="232" t="n"/>
    </row>
    <row r="115">
      <c r="A115" s="232" t="n"/>
      <c r="B115" s="232" t="n"/>
      <c r="C115" s="232" t="n"/>
      <c r="D115" s="232" t="n"/>
      <c r="E115" s="232" t="n"/>
      <c r="F115" s="232" t="n"/>
      <c r="G115" s="232" t="n"/>
      <c r="H115" s="232" t="n"/>
      <c r="I115" s="232" t="n"/>
      <c r="J115" s="232" t="n"/>
      <c r="K115" s="232" t="n"/>
      <c r="L115" s="232" t="n"/>
      <c r="M115" s="232" t="n"/>
      <c r="N115" s="232" t="n"/>
    </row>
    <row r="116">
      <c r="A116" s="232" t="n"/>
      <c r="B116" s="232" t="n"/>
      <c r="C116" s="232" t="n"/>
      <c r="D116" s="232" t="n"/>
      <c r="E116" s="232" t="n"/>
      <c r="F116" s="232" t="n"/>
      <c r="G116" s="232" t="n"/>
      <c r="H116" s="232" t="n"/>
      <c r="I116" s="232" t="n"/>
      <c r="J116" s="232" t="n"/>
      <c r="K116" s="232" t="n"/>
      <c r="L116" s="232" t="n"/>
      <c r="M116" s="232" t="n"/>
      <c r="N116" s="232" t="n"/>
    </row>
    <row r="117">
      <c r="A117" s="232" t="n"/>
      <c r="B117" s="232" t="n"/>
      <c r="C117" s="232" t="n"/>
      <c r="D117" s="232" t="n"/>
      <c r="E117" s="232" t="n"/>
      <c r="F117" s="232" t="n"/>
      <c r="G117" s="232" t="n"/>
      <c r="H117" s="232" t="n"/>
      <c r="I117" s="232" t="n"/>
      <c r="J117" s="232" t="n"/>
      <c r="K117" s="232" t="n"/>
      <c r="L117" s="232" t="n"/>
      <c r="M117" s="232" t="n"/>
      <c r="N117" s="232" t="n"/>
    </row>
    <row r="118">
      <c r="A118" s="232" t="n"/>
      <c r="B118" s="232" t="n"/>
      <c r="C118" s="232" t="n"/>
      <c r="D118" s="232" t="n"/>
      <c r="E118" s="232" t="n"/>
      <c r="F118" s="232" t="n"/>
      <c r="G118" s="232" t="n"/>
      <c r="H118" s="232" t="n"/>
      <c r="I118" s="232" t="n"/>
      <c r="J118" s="232" t="n"/>
      <c r="K118" s="232" t="n"/>
      <c r="L118" s="232" t="n"/>
      <c r="M118" s="232" t="n"/>
      <c r="N118" s="232" t="n"/>
    </row>
    <row r="119">
      <c r="A119" s="232" t="n"/>
      <c r="B119" s="232" t="n"/>
      <c r="C119" s="232" t="n"/>
      <c r="D119" s="232" t="n"/>
      <c r="E119" s="232" t="n"/>
      <c r="F119" s="232" t="n"/>
      <c r="G119" s="232" t="n"/>
      <c r="H119" s="232" t="n"/>
      <c r="I119" s="232" t="n"/>
      <c r="J119" s="232" t="n"/>
      <c r="K119" s="232" t="n"/>
      <c r="L119" s="232" t="n"/>
      <c r="M119" s="232" t="n"/>
      <c r="N119" s="232" t="n"/>
    </row>
    <row r="120">
      <c r="A120" s="232" t="n"/>
      <c r="B120" s="232" t="n"/>
      <c r="C120" s="232" t="n"/>
      <c r="D120" s="232" t="n"/>
      <c r="E120" s="232" t="n"/>
      <c r="F120" s="232" t="n"/>
      <c r="G120" s="232" t="n"/>
      <c r="H120" s="232" t="n"/>
      <c r="I120" s="232" t="n"/>
      <c r="J120" s="232" t="n"/>
      <c r="K120" s="232" t="n"/>
      <c r="L120" s="232" t="n"/>
      <c r="M120" s="232" t="n"/>
      <c r="N120" s="232" t="n"/>
    </row>
    <row r="121">
      <c r="A121" s="232" t="n"/>
      <c r="B121" s="232" t="n"/>
      <c r="C121" s="232" t="n"/>
      <c r="D121" s="232" t="n"/>
      <c r="E121" s="232" t="n"/>
      <c r="F121" s="232" t="n"/>
      <c r="G121" s="232" t="n"/>
      <c r="H121" s="232" t="n"/>
      <c r="I121" s="232" t="n"/>
      <c r="J121" s="232" t="n"/>
      <c r="K121" s="232" t="n"/>
      <c r="L121" s="232" t="n"/>
      <c r="M121" s="232" t="n"/>
      <c r="N121" s="232" t="n"/>
    </row>
    <row r="122">
      <c r="A122" s="232" t="n"/>
      <c r="B122" s="232" t="n"/>
      <c r="C122" s="232" t="n"/>
      <c r="D122" s="232" t="n"/>
      <c r="E122" s="232" t="n"/>
      <c r="F122" s="232" t="n"/>
      <c r="G122" s="232" t="n"/>
      <c r="H122" s="232" t="n"/>
      <c r="I122" s="232" t="n"/>
      <c r="J122" s="232" t="n"/>
      <c r="K122" s="232" t="n"/>
      <c r="L122" s="232" t="n"/>
      <c r="M122" s="232" t="n"/>
      <c r="N122" s="232" t="n"/>
    </row>
    <row r="123">
      <c r="A123" s="232" t="n"/>
      <c r="B123" s="232" t="n"/>
      <c r="C123" s="232" t="n"/>
      <c r="D123" s="232" t="n"/>
      <c r="E123" s="232" t="n"/>
      <c r="F123" s="232" t="n"/>
      <c r="G123" s="232" t="n"/>
      <c r="H123" s="232" t="n"/>
      <c r="I123" s="232" t="n"/>
      <c r="J123" s="232" t="n"/>
      <c r="K123" s="232" t="n"/>
      <c r="L123" s="232" t="n"/>
      <c r="M123" s="232" t="n"/>
      <c r="N123" s="232" t="n"/>
    </row>
    <row r="124">
      <c r="A124" s="232" t="n"/>
      <c r="B124" s="232" t="n"/>
      <c r="C124" s="232" t="n"/>
      <c r="D124" s="232" t="n"/>
      <c r="E124" s="232" t="n"/>
      <c r="F124" s="232" t="n"/>
      <c r="G124" s="232" t="n"/>
      <c r="H124" s="232" t="n"/>
      <c r="I124" s="232" t="n"/>
      <c r="J124" s="232" t="n"/>
      <c r="K124" s="232" t="n"/>
      <c r="L124" s="232" t="n"/>
      <c r="M124" s="232" t="n"/>
      <c r="N124" s="232" t="n"/>
    </row>
    <row r="125">
      <c r="A125" s="232" t="n"/>
      <c r="B125" s="232" t="n"/>
      <c r="C125" s="232" t="n"/>
      <c r="D125" s="232" t="n"/>
      <c r="E125" s="232" t="n"/>
      <c r="F125" s="232" t="n"/>
      <c r="G125" s="232" t="n"/>
      <c r="H125" s="232" t="n"/>
      <c r="I125" s="232" t="n"/>
      <c r="J125" s="232" t="n"/>
      <c r="K125" s="232" t="n"/>
      <c r="L125" s="232" t="n"/>
      <c r="M125" s="232" t="n"/>
      <c r="N125" s="232" t="n"/>
    </row>
    <row r="126">
      <c r="A126" s="232" t="n"/>
      <c r="B126" s="232" t="n"/>
      <c r="C126" s="232" t="n"/>
      <c r="D126" s="232" t="n"/>
      <c r="E126" s="232" t="n"/>
      <c r="F126" s="232" t="n"/>
      <c r="G126" s="232" t="n"/>
      <c r="H126" s="232" t="n"/>
      <c r="I126" s="232" t="n"/>
      <c r="J126" s="232" t="n"/>
      <c r="K126" s="232" t="n"/>
      <c r="L126" s="232" t="n"/>
      <c r="M126" s="232" t="n"/>
      <c r="N126" s="232" t="n"/>
    </row>
    <row r="127">
      <c r="A127" s="232" t="n"/>
      <c r="B127" s="232" t="n"/>
      <c r="C127" s="232" t="n"/>
      <c r="D127" s="232" t="n"/>
      <c r="E127" s="232" t="n"/>
      <c r="F127" s="232" t="n"/>
      <c r="G127" s="232" t="n"/>
      <c r="H127" s="232" t="n"/>
      <c r="I127" s="232" t="n"/>
      <c r="J127" s="232" t="n"/>
      <c r="K127" s="232" t="n"/>
      <c r="L127" s="232" t="n"/>
      <c r="M127" s="232" t="n"/>
      <c r="N127" s="232" t="n"/>
    </row>
    <row r="128">
      <c r="A128" s="232" t="n"/>
      <c r="B128" s="232" t="n"/>
      <c r="C128" s="232" t="n"/>
      <c r="D128" s="232" t="n"/>
      <c r="E128" s="232" t="n"/>
      <c r="F128" s="232" t="n"/>
      <c r="G128" s="232" t="n"/>
      <c r="H128" s="232" t="n"/>
      <c r="I128" s="232" t="n"/>
      <c r="J128" s="232" t="n"/>
      <c r="K128" s="232" t="n"/>
      <c r="L128" s="232" t="n"/>
      <c r="M128" s="232" t="n"/>
      <c r="N128" s="232" t="n"/>
    </row>
    <row r="129">
      <c r="A129" s="232" t="n"/>
      <c r="B129" s="232" t="n"/>
      <c r="C129" s="232" t="n"/>
      <c r="D129" s="232" t="n"/>
      <c r="E129" s="232" t="n"/>
      <c r="F129" s="232" t="n"/>
      <c r="G129" s="232" t="n"/>
      <c r="H129" s="232" t="n"/>
      <c r="I129" s="232" t="n"/>
      <c r="J129" s="232" t="n"/>
      <c r="K129" s="232" t="n"/>
      <c r="L129" s="232" t="n"/>
      <c r="M129" s="232" t="n"/>
      <c r="N129" s="232" t="n"/>
    </row>
    <row r="130">
      <c r="A130" s="232" t="n"/>
      <c r="B130" s="232" t="n"/>
      <c r="C130" s="232" t="n"/>
      <c r="D130" s="232" t="n"/>
      <c r="E130" s="232" t="n"/>
      <c r="F130" s="232" t="n"/>
      <c r="G130" s="232" t="n"/>
      <c r="H130" s="232" t="n"/>
      <c r="I130" s="232" t="n"/>
      <c r="J130" s="232" t="n"/>
      <c r="K130" s="232" t="n"/>
      <c r="L130" s="232" t="n"/>
      <c r="M130" s="232" t="n"/>
      <c r="N130" s="232" t="n"/>
    </row>
    <row r="131">
      <c r="A131" s="232" t="n"/>
      <c r="B131" s="232" t="n"/>
      <c r="C131" s="232" t="n"/>
      <c r="D131" s="232" t="n"/>
      <c r="E131" s="232" t="n"/>
      <c r="F131" s="232" t="n"/>
      <c r="G131" s="232" t="n"/>
      <c r="H131" s="232" t="n"/>
      <c r="I131" s="232" t="n"/>
      <c r="J131" s="232" t="n"/>
      <c r="K131" s="232" t="n"/>
      <c r="L131" s="232" t="n"/>
      <c r="M131" s="232" t="n"/>
      <c r="N131" s="232" t="n"/>
    </row>
    <row r="132">
      <c r="A132" s="232" t="n"/>
      <c r="B132" s="232" t="n"/>
      <c r="C132" s="232" t="n"/>
      <c r="D132" s="232" t="n"/>
      <c r="E132" s="232" t="n"/>
      <c r="F132" s="232" t="n"/>
      <c r="G132" s="232" t="n"/>
      <c r="H132" s="232" t="n"/>
      <c r="I132" s="232" t="n"/>
      <c r="J132" s="232" t="n"/>
      <c r="K132" s="232" t="n"/>
      <c r="L132" s="232" t="n"/>
      <c r="M132" s="232" t="n"/>
      <c r="N132" s="232" t="n"/>
    </row>
    <row r="133">
      <c r="A133" s="232" t="n"/>
      <c r="B133" s="232" t="n"/>
      <c r="C133" s="232" t="n"/>
      <c r="D133" s="232" t="n"/>
      <c r="E133" s="232" t="n"/>
      <c r="F133" s="232" t="n"/>
      <c r="G133" s="232" t="n"/>
      <c r="H133" s="232" t="n"/>
      <c r="I133" s="232" t="n"/>
      <c r="J133" s="232" t="n"/>
      <c r="K133" s="232" t="n"/>
      <c r="L133" s="232" t="n"/>
      <c r="M133" s="232" t="n"/>
      <c r="N133" s="232" t="n"/>
    </row>
    <row r="134">
      <c r="A134" s="232" t="n"/>
      <c r="B134" s="232" t="n"/>
      <c r="C134" s="232" t="n"/>
      <c r="D134" s="232" t="n"/>
      <c r="E134" s="232" t="n"/>
      <c r="F134" s="232" t="n"/>
      <c r="G134" s="232" t="n"/>
      <c r="H134" s="232" t="n"/>
      <c r="I134" s="232" t="n"/>
      <c r="J134" s="232" t="n"/>
      <c r="K134" s="232" t="n"/>
      <c r="L134" s="232" t="n"/>
      <c r="M134" s="232" t="n"/>
      <c r="N134" s="232" t="n"/>
    </row>
    <row r="135">
      <c r="A135" s="232" t="n"/>
      <c r="B135" s="232" t="n"/>
      <c r="C135" s="232" t="n"/>
      <c r="D135" s="232" t="n"/>
      <c r="E135" s="232" t="n"/>
      <c r="F135" s="232" t="n"/>
      <c r="G135" s="232" t="n"/>
      <c r="H135" s="232" t="n"/>
      <c r="I135" s="232" t="n"/>
      <c r="J135" s="232" t="n"/>
      <c r="K135" s="232" t="n"/>
      <c r="L135" s="232" t="n"/>
      <c r="M135" s="232" t="n"/>
      <c r="N135" s="232" t="n"/>
    </row>
    <row r="136">
      <c r="A136" s="232" t="n"/>
      <c r="B136" s="232" t="n"/>
      <c r="C136" s="232" t="n"/>
      <c r="D136" s="232" t="n"/>
      <c r="E136" s="232" t="n"/>
      <c r="F136" s="232" t="n"/>
      <c r="G136" s="232" t="n"/>
      <c r="H136" s="232" t="n"/>
      <c r="I136" s="232" t="n"/>
      <c r="J136" s="232" t="n"/>
      <c r="K136" s="232" t="n"/>
      <c r="L136" s="232" t="n"/>
      <c r="M136" s="232" t="n"/>
      <c r="N136" s="232" t="n"/>
    </row>
    <row r="137">
      <c r="A137" s="232" t="n"/>
      <c r="B137" s="232" t="n"/>
      <c r="C137" s="232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  <c r="M137" s="232" t="n"/>
      <c r="N137" s="232" t="n"/>
    </row>
    <row r="138">
      <c r="A138" s="232" t="n"/>
      <c r="B138" s="232" t="n"/>
      <c r="C138" s="232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  <c r="M138" s="232" t="n"/>
      <c r="N138" s="232" t="n"/>
    </row>
    <row r="139">
      <c r="A139" s="232" t="n"/>
      <c r="B139" s="232" t="n"/>
      <c r="C139" s="232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  <c r="M139" s="232" t="n"/>
      <c r="N139" s="232" t="n"/>
    </row>
    <row r="140">
      <c r="A140" s="232" t="n"/>
      <c r="B140" s="232" t="n"/>
      <c r="C140" s="232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  <c r="M140" s="232" t="n"/>
      <c r="N140" s="232" t="n"/>
    </row>
    <row r="141">
      <c r="A141" s="232" t="n"/>
      <c r="B141" s="232" t="n"/>
      <c r="C141" s="232" t="n"/>
      <c r="D141" s="232" t="n"/>
      <c r="E141" s="232" t="n"/>
      <c r="F141" s="232" t="n"/>
      <c r="G141" s="232" t="n"/>
      <c r="H141" s="232" t="n"/>
      <c r="I141" s="232" t="n"/>
      <c r="J141" s="232" t="n"/>
      <c r="K141" s="232" t="n"/>
      <c r="L141" s="232" t="n"/>
      <c r="M141" s="232" t="n"/>
      <c r="N141" s="232" t="n"/>
    </row>
    <row r="142">
      <c r="A142" s="232" t="n"/>
      <c r="B142" s="232" t="n"/>
      <c r="C142" s="232" t="n"/>
      <c r="D142" s="232" t="n"/>
      <c r="E142" s="232" t="n"/>
      <c r="F142" s="232" t="n"/>
      <c r="G142" s="232" t="n"/>
      <c r="H142" s="232" t="n"/>
      <c r="I142" s="232" t="n"/>
      <c r="J142" s="232" t="n"/>
      <c r="K142" s="232" t="n"/>
      <c r="L142" s="232" t="n"/>
      <c r="M142" s="232" t="n"/>
      <c r="N142" s="232" t="n"/>
    </row>
    <row r="143">
      <c r="A143" s="232" t="n"/>
      <c r="B143" s="232" t="n"/>
      <c r="C143" s="232" t="n"/>
      <c r="D143" s="232" t="n"/>
      <c r="E143" s="232" t="n"/>
      <c r="F143" s="232" t="n"/>
      <c r="G143" s="232" t="n"/>
      <c r="H143" s="232" t="n"/>
      <c r="I143" s="232" t="n"/>
      <c r="J143" s="232" t="n"/>
      <c r="K143" s="232" t="n"/>
      <c r="L143" s="232" t="n"/>
      <c r="M143" s="232" t="n"/>
      <c r="N143" s="232" t="n"/>
    </row>
    <row r="144">
      <c r="A144" s="232" t="n"/>
      <c r="B144" s="232" t="n"/>
      <c r="C144" s="232" t="n"/>
      <c r="D144" s="232" t="n"/>
      <c r="E144" s="232" t="n"/>
      <c r="F144" s="232" t="n"/>
      <c r="G144" s="232" t="n"/>
      <c r="H144" s="232" t="n"/>
      <c r="I144" s="232" t="n"/>
      <c r="J144" s="232" t="n"/>
      <c r="K144" s="232" t="n"/>
      <c r="L144" s="232" t="n"/>
      <c r="M144" s="232" t="n"/>
      <c r="N144" s="232" t="n"/>
    </row>
    <row r="145">
      <c r="A145" s="232" t="n"/>
      <c r="B145" s="232" t="n"/>
      <c r="C145" s="232" t="n"/>
      <c r="D145" s="232" t="n"/>
      <c r="E145" s="232" t="n"/>
      <c r="F145" s="232" t="n"/>
      <c r="G145" s="232" t="n"/>
      <c r="H145" s="232" t="n"/>
      <c r="I145" s="232" t="n"/>
      <c r="J145" s="232" t="n"/>
      <c r="K145" s="232" t="n"/>
      <c r="L145" s="232" t="n"/>
      <c r="M145" s="232" t="n"/>
      <c r="N145" s="232" t="n"/>
    </row>
    <row r="146">
      <c r="A146" s="232" t="n"/>
      <c r="B146" s="232" t="n"/>
      <c r="C146" s="232" t="n"/>
      <c r="D146" s="232" t="n"/>
      <c r="E146" s="232" t="n"/>
      <c r="F146" s="232" t="n"/>
      <c r="G146" s="232" t="n"/>
      <c r="H146" s="232" t="n"/>
      <c r="I146" s="232" t="n"/>
      <c r="J146" s="232" t="n"/>
      <c r="K146" s="232" t="n"/>
      <c r="L146" s="232" t="n"/>
      <c r="M146" s="232" t="n"/>
      <c r="N146" s="232" t="n"/>
    </row>
    <row r="147">
      <c r="A147" s="232" t="n"/>
      <c r="B147" s="232" t="n"/>
      <c r="C147" s="232" t="n"/>
      <c r="D147" s="232" t="n"/>
      <c r="E147" s="232" t="n"/>
      <c r="F147" s="232" t="n"/>
      <c r="G147" s="232" t="n"/>
      <c r="H147" s="232" t="n"/>
      <c r="I147" s="232" t="n"/>
      <c r="J147" s="232" t="n"/>
      <c r="K147" s="232" t="n"/>
      <c r="L147" s="232" t="n"/>
      <c r="M147" s="232" t="n"/>
      <c r="N147" s="232" t="n"/>
    </row>
    <row r="148">
      <c r="A148" s="232" t="n"/>
      <c r="B148" s="232" t="n"/>
      <c r="C148" s="232" t="n"/>
      <c r="D148" s="232" t="n"/>
      <c r="E148" s="232" t="n"/>
      <c r="F148" s="232" t="n"/>
      <c r="G148" s="232" t="n"/>
      <c r="H148" s="232" t="n"/>
      <c r="I148" s="232" t="n"/>
      <c r="J148" s="232" t="n"/>
      <c r="K148" s="232" t="n"/>
      <c r="L148" s="232" t="n"/>
      <c r="M148" s="232" t="n"/>
      <c r="N148" s="232" t="n"/>
    </row>
    <row r="149">
      <c r="A149" s="232" t="n"/>
      <c r="B149" s="232" t="n"/>
      <c r="C149" s="232" t="n"/>
      <c r="D149" s="232" t="n"/>
      <c r="E149" s="232" t="n"/>
      <c r="F149" s="232" t="n"/>
      <c r="G149" s="232" t="n"/>
      <c r="H149" s="232" t="n"/>
      <c r="I149" s="232" t="n"/>
      <c r="J149" s="232" t="n"/>
      <c r="K149" s="232" t="n"/>
      <c r="L149" s="232" t="n"/>
      <c r="M149" s="232" t="n"/>
      <c r="N149" s="232" t="n"/>
    </row>
    <row r="150">
      <c r="A150" s="232" t="n"/>
      <c r="B150" s="232" t="n"/>
      <c r="C150" s="232" t="n"/>
      <c r="D150" s="232" t="n"/>
      <c r="E150" s="232" t="n"/>
      <c r="F150" s="232" t="n"/>
      <c r="G150" s="232" t="n"/>
      <c r="H150" s="232" t="n"/>
      <c r="I150" s="232" t="n"/>
      <c r="J150" s="232" t="n"/>
      <c r="K150" s="232" t="n"/>
      <c r="L150" s="232" t="n"/>
      <c r="M150" s="232" t="n"/>
      <c r="N150" s="232" t="n"/>
    </row>
    <row r="151">
      <c r="A151" s="232" t="n"/>
      <c r="B151" s="232" t="n"/>
      <c r="C151" s="232" t="n"/>
      <c r="D151" s="232" t="n"/>
      <c r="E151" s="232" t="n"/>
      <c r="F151" s="232" t="n"/>
      <c r="G151" s="232" t="n"/>
      <c r="H151" s="232" t="n"/>
      <c r="I151" s="232" t="n"/>
      <c r="J151" s="232" t="n"/>
      <c r="K151" s="232" t="n"/>
      <c r="L151" s="232" t="n"/>
      <c r="M151" s="232" t="n"/>
      <c r="N151" s="232" t="n"/>
    </row>
    <row r="152">
      <c r="A152" s="232" t="n"/>
      <c r="B152" s="232" t="n"/>
      <c r="C152" s="232" t="n"/>
      <c r="D152" s="232" t="n"/>
      <c r="E152" s="232" t="n"/>
      <c r="F152" s="232" t="n"/>
      <c r="G152" s="232" t="n"/>
      <c r="H152" s="232" t="n"/>
      <c r="I152" s="232" t="n"/>
      <c r="J152" s="232" t="n"/>
      <c r="K152" s="232" t="n"/>
      <c r="L152" s="232" t="n"/>
      <c r="M152" s="232" t="n"/>
      <c r="N152" s="232" t="n"/>
    </row>
    <row r="153">
      <c r="A153" s="232" t="n"/>
      <c r="B153" s="232" t="n"/>
      <c r="C153" s="232" t="n"/>
      <c r="D153" s="232" t="n"/>
      <c r="E153" s="232" t="n"/>
      <c r="F153" s="232" t="n"/>
      <c r="G153" s="232" t="n"/>
      <c r="H153" s="232" t="n"/>
      <c r="I153" s="232" t="n"/>
      <c r="J153" s="232" t="n"/>
      <c r="K153" s="232" t="n"/>
      <c r="L153" s="232" t="n"/>
      <c r="M153" s="232" t="n"/>
      <c r="N153" s="232" t="n"/>
    </row>
    <row r="154">
      <c r="A154" s="232" t="n"/>
      <c r="B154" s="232" t="n"/>
      <c r="C154" s="232" t="n"/>
      <c r="D154" s="232" t="n"/>
      <c r="E154" s="232" t="n"/>
      <c r="F154" s="232" t="n"/>
      <c r="G154" s="232" t="n"/>
      <c r="H154" s="232" t="n"/>
      <c r="I154" s="232" t="n"/>
      <c r="J154" s="232" t="n"/>
      <c r="K154" s="232" t="n"/>
      <c r="L154" s="232" t="n"/>
      <c r="M154" s="232" t="n"/>
      <c r="N154" s="232" t="n"/>
    </row>
    <row r="155">
      <c r="A155" s="232" t="n"/>
      <c r="B155" s="232" t="n"/>
      <c r="C155" s="232" t="n"/>
      <c r="D155" s="232" t="n"/>
      <c r="E155" s="232" t="n"/>
      <c r="F155" s="232" t="n"/>
      <c r="G155" s="232" t="n"/>
      <c r="H155" s="232" t="n"/>
      <c r="I155" s="232" t="n"/>
      <c r="J155" s="232" t="n"/>
      <c r="K155" s="232" t="n"/>
      <c r="L155" s="232" t="n"/>
      <c r="M155" s="232" t="n"/>
      <c r="N155" s="232" t="n"/>
    </row>
    <row r="156">
      <c r="A156" s="232" t="n"/>
      <c r="B156" s="232" t="n"/>
      <c r="C156" s="232" t="n"/>
      <c r="D156" s="232" t="n"/>
      <c r="E156" s="232" t="n"/>
      <c r="F156" s="232" t="n"/>
      <c r="G156" s="232" t="n"/>
      <c r="H156" s="232" t="n"/>
      <c r="I156" s="232" t="n"/>
      <c r="J156" s="232" t="n"/>
      <c r="K156" s="232" t="n"/>
      <c r="L156" s="232" t="n"/>
      <c r="M156" s="232" t="n"/>
      <c r="N156" s="232" t="n"/>
    </row>
    <row r="157">
      <c r="A157" s="232" t="n"/>
      <c r="B157" s="232" t="n"/>
      <c r="C157" s="232" t="n"/>
      <c r="D157" s="232" t="n"/>
      <c r="E157" s="232" t="n"/>
      <c r="F157" s="232" t="n"/>
      <c r="G157" s="232" t="n"/>
      <c r="H157" s="232" t="n"/>
      <c r="I157" s="232" t="n"/>
      <c r="J157" s="232" t="n"/>
      <c r="K157" s="232" t="n"/>
      <c r="L157" s="232" t="n"/>
      <c r="M157" s="232" t="n"/>
      <c r="N157" s="232" t="n"/>
    </row>
    <row r="158">
      <c r="A158" s="232" t="n"/>
      <c r="B158" s="232" t="n"/>
      <c r="C158" s="232" t="n"/>
      <c r="D158" s="232" t="n"/>
      <c r="E158" s="232" t="n"/>
      <c r="F158" s="232" t="n"/>
      <c r="G158" s="232" t="n"/>
      <c r="H158" s="232" t="n"/>
      <c r="I158" s="232" t="n"/>
      <c r="J158" s="232" t="n"/>
      <c r="K158" s="232" t="n"/>
      <c r="L158" s="232" t="n"/>
      <c r="M158" s="232" t="n"/>
      <c r="N158" s="232" t="n"/>
    </row>
    <row r="159">
      <c r="A159" s="232" t="n"/>
      <c r="B159" s="232" t="n"/>
      <c r="C159" s="232" t="n"/>
      <c r="D159" s="232" t="n"/>
      <c r="E159" s="232" t="n"/>
      <c r="F159" s="232" t="n"/>
      <c r="G159" s="232" t="n"/>
      <c r="H159" s="232" t="n"/>
      <c r="I159" s="232" t="n"/>
      <c r="J159" s="232" t="n"/>
      <c r="K159" s="232" t="n"/>
      <c r="L159" s="232" t="n"/>
      <c r="M159" s="232" t="n"/>
      <c r="N159" s="232" t="n"/>
    </row>
    <row r="160">
      <c r="A160" s="232" t="n"/>
      <c r="B160" s="232" t="n"/>
      <c r="C160" s="232" t="n"/>
      <c r="D160" s="232" t="n"/>
      <c r="E160" s="232" t="n"/>
      <c r="F160" s="232" t="n"/>
      <c r="G160" s="232" t="n"/>
      <c r="H160" s="232" t="n"/>
      <c r="I160" s="232" t="n"/>
      <c r="J160" s="232" t="n"/>
      <c r="K160" s="232" t="n"/>
      <c r="L160" s="232" t="n"/>
      <c r="M160" s="232" t="n"/>
      <c r="N160" s="232" t="n"/>
    </row>
    <row r="161">
      <c r="A161" s="232" t="n"/>
      <c r="B161" s="232" t="n"/>
      <c r="C161" s="232" t="n"/>
      <c r="D161" s="232" t="n"/>
      <c r="E161" s="232" t="n"/>
      <c r="F161" s="232" t="n"/>
      <c r="G161" s="232" t="n"/>
      <c r="H161" s="232" t="n"/>
      <c r="I161" s="232" t="n"/>
      <c r="J161" s="232" t="n"/>
      <c r="K161" s="232" t="n"/>
      <c r="L161" s="232" t="n"/>
      <c r="M161" s="232" t="n"/>
      <c r="N161" s="232" t="n"/>
    </row>
    <row r="162">
      <c r="A162" s="232" t="n"/>
      <c r="B162" s="232" t="n"/>
      <c r="C162" s="232" t="n"/>
      <c r="D162" s="232" t="n"/>
      <c r="E162" s="232" t="n"/>
      <c r="F162" s="232" t="n"/>
      <c r="G162" s="232" t="n"/>
      <c r="H162" s="232" t="n"/>
      <c r="I162" s="232" t="n"/>
      <c r="J162" s="232" t="n"/>
      <c r="K162" s="232" t="n"/>
      <c r="L162" s="232" t="n"/>
      <c r="M162" s="232" t="n"/>
      <c r="N162" s="232" t="n"/>
    </row>
    <row r="163">
      <c r="A163" s="232" t="n"/>
      <c r="B163" s="232" t="n"/>
      <c r="C163" s="232" t="n"/>
      <c r="D163" s="232" t="n"/>
      <c r="E163" s="232" t="n"/>
      <c r="F163" s="232" t="n"/>
      <c r="G163" s="232" t="n"/>
      <c r="H163" s="232" t="n"/>
      <c r="I163" s="232" t="n"/>
      <c r="J163" s="232" t="n"/>
      <c r="K163" s="232" t="n"/>
      <c r="L163" s="232" t="n"/>
      <c r="M163" s="232" t="n"/>
      <c r="N163" s="232" t="n"/>
    </row>
    <row r="164">
      <c r="A164" s="232" t="n"/>
      <c r="B164" s="232" t="n"/>
      <c r="C164" s="232" t="n"/>
      <c r="D164" s="232" t="n"/>
      <c r="E164" s="232" t="n"/>
      <c r="F164" s="232" t="n"/>
      <c r="G164" s="232" t="n"/>
      <c r="H164" s="232" t="n"/>
      <c r="I164" s="232" t="n"/>
      <c r="J164" s="232" t="n"/>
      <c r="K164" s="232" t="n"/>
      <c r="L164" s="232" t="n"/>
      <c r="M164" s="232" t="n"/>
      <c r="N164" s="232" t="n"/>
    </row>
    <row r="165">
      <c r="A165" s="232" t="n"/>
      <c r="B165" s="232" t="n"/>
      <c r="C165" s="232" t="n"/>
      <c r="D165" s="232" t="n"/>
      <c r="E165" s="232" t="n"/>
      <c r="F165" s="232" t="n"/>
      <c r="G165" s="232" t="n"/>
      <c r="H165" s="232" t="n"/>
      <c r="I165" s="232" t="n"/>
      <c r="J165" s="232" t="n"/>
      <c r="K165" s="232" t="n"/>
      <c r="L165" s="232" t="n"/>
      <c r="M165" s="232" t="n"/>
      <c r="N165" s="232" t="n"/>
    </row>
    <row r="166">
      <c r="A166" s="232" t="n"/>
      <c r="B166" s="232" t="n"/>
      <c r="C166" s="232" t="n"/>
      <c r="D166" s="232" t="n"/>
      <c r="E166" s="232" t="n"/>
      <c r="F166" s="232" t="n"/>
      <c r="G166" s="232" t="n"/>
      <c r="H166" s="232" t="n"/>
      <c r="I166" s="232" t="n"/>
      <c r="J166" s="232" t="n"/>
      <c r="K166" s="232" t="n"/>
      <c r="L166" s="232" t="n"/>
      <c r="M166" s="232" t="n"/>
      <c r="N166" s="232" t="n"/>
    </row>
    <row r="167">
      <c r="A167" s="232" t="n"/>
      <c r="B167" s="232" t="n"/>
      <c r="C167" s="232" t="n"/>
      <c r="D167" s="232" t="n"/>
      <c r="E167" s="232" t="n"/>
      <c r="F167" s="232" t="n"/>
      <c r="G167" s="232" t="n"/>
      <c r="H167" s="232" t="n"/>
      <c r="I167" s="232" t="n"/>
      <c r="J167" s="232" t="n"/>
      <c r="K167" s="232" t="n"/>
      <c r="L167" s="232" t="n"/>
      <c r="M167" s="232" t="n"/>
      <c r="N167" s="232" t="n"/>
    </row>
    <row r="168">
      <c r="A168" s="232" t="n"/>
      <c r="B168" s="232" t="n"/>
      <c r="C168" s="232" t="n"/>
      <c r="D168" s="232" t="n"/>
      <c r="E168" s="232" t="n"/>
      <c r="F168" s="232" t="n"/>
      <c r="G168" s="232" t="n"/>
      <c r="H168" s="232" t="n"/>
      <c r="I168" s="232" t="n"/>
      <c r="J168" s="232" t="n"/>
      <c r="K168" s="232" t="n"/>
      <c r="L168" s="232" t="n"/>
      <c r="M168" s="232" t="n"/>
      <c r="N168" s="232" t="n"/>
    </row>
    <row r="169">
      <c r="A169" s="232" t="n"/>
      <c r="B169" s="232" t="n"/>
      <c r="C169" s="232" t="n"/>
      <c r="D169" s="232" t="n"/>
      <c r="E169" s="232" t="n"/>
      <c r="F169" s="232" t="n"/>
      <c r="G169" s="232" t="n"/>
      <c r="H169" s="232" t="n"/>
      <c r="I169" s="232" t="n"/>
      <c r="J169" s="232" t="n"/>
      <c r="K169" s="232" t="n"/>
      <c r="L169" s="232" t="n"/>
      <c r="M169" s="232" t="n"/>
      <c r="N169" s="232" t="n"/>
    </row>
    <row r="170">
      <c r="A170" s="232" t="n"/>
      <c r="B170" s="232" t="n"/>
      <c r="C170" s="232" t="n"/>
      <c r="D170" s="232" t="n"/>
      <c r="E170" s="232" t="n"/>
      <c r="F170" s="232" t="n"/>
      <c r="G170" s="232" t="n"/>
      <c r="H170" s="232" t="n"/>
      <c r="I170" s="232" t="n"/>
      <c r="J170" s="232" t="n"/>
      <c r="K170" s="232" t="n"/>
      <c r="L170" s="232" t="n"/>
      <c r="M170" s="232" t="n"/>
      <c r="N170" s="232" t="n"/>
    </row>
    <row r="171">
      <c r="A171" s="232" t="n"/>
      <c r="B171" s="232" t="n"/>
      <c r="C171" s="232" t="n"/>
      <c r="D171" s="232" t="n"/>
      <c r="E171" s="232" t="n"/>
      <c r="F171" s="232" t="n"/>
      <c r="G171" s="232" t="n"/>
      <c r="H171" s="232" t="n"/>
      <c r="I171" s="232" t="n"/>
      <c r="J171" s="232" t="n"/>
      <c r="K171" s="232" t="n"/>
      <c r="L171" s="232" t="n"/>
      <c r="M171" s="232" t="n"/>
      <c r="N171" s="232" t="n"/>
    </row>
    <row r="172">
      <c r="A172" s="232" t="n"/>
      <c r="B172" s="232" t="n"/>
      <c r="C172" s="232" t="n"/>
      <c r="D172" s="232" t="n"/>
      <c r="E172" s="232" t="n"/>
      <c r="F172" s="232" t="n"/>
      <c r="G172" s="232" t="n"/>
      <c r="H172" s="232" t="n"/>
      <c r="I172" s="232" t="n"/>
      <c r="J172" s="232" t="n"/>
      <c r="K172" s="232" t="n"/>
      <c r="L172" s="232" t="n"/>
      <c r="M172" s="232" t="n"/>
      <c r="N172" s="232" t="n"/>
    </row>
    <row r="173">
      <c r="A173" s="232" t="n"/>
      <c r="B173" s="232" t="n"/>
      <c r="C173" s="232" t="n"/>
      <c r="D173" s="232" t="n"/>
      <c r="E173" s="232" t="n"/>
      <c r="F173" s="232" t="n"/>
      <c r="G173" s="232" t="n"/>
      <c r="H173" s="232" t="n"/>
      <c r="I173" s="232" t="n"/>
      <c r="J173" s="232" t="n"/>
      <c r="K173" s="232" t="n"/>
      <c r="L173" s="232" t="n"/>
      <c r="M173" s="232" t="n"/>
      <c r="N173" s="232" t="n"/>
    </row>
    <row r="174">
      <c r="A174" s="232" t="n"/>
      <c r="B174" s="232" t="n"/>
      <c r="C174" s="232" t="n"/>
      <c r="D174" s="232" t="n"/>
      <c r="E174" s="232" t="n"/>
      <c r="F174" s="232" t="n"/>
      <c r="G174" s="232" t="n"/>
      <c r="H174" s="232" t="n"/>
      <c r="I174" s="232" t="n"/>
      <c r="J174" s="232" t="n"/>
      <c r="K174" s="232" t="n"/>
      <c r="L174" s="232" t="n"/>
      <c r="M174" s="232" t="n"/>
      <c r="N174" s="232" t="n"/>
    </row>
    <row r="175">
      <c r="A175" s="232" t="n"/>
      <c r="B175" s="232" t="n"/>
      <c r="C175" s="232" t="n"/>
      <c r="D175" s="232" t="n"/>
      <c r="E175" s="232" t="n"/>
      <c r="F175" s="232" t="n"/>
      <c r="G175" s="232" t="n"/>
      <c r="H175" s="232" t="n"/>
      <c r="I175" s="232" t="n"/>
      <c r="J175" s="232" t="n"/>
      <c r="K175" s="232" t="n"/>
      <c r="L175" s="232" t="n"/>
      <c r="M175" s="232" t="n"/>
      <c r="N175" s="232" t="n"/>
    </row>
    <row r="176">
      <c r="A176" s="232" t="n"/>
      <c r="B176" s="232" t="n"/>
      <c r="C176" s="232" t="n"/>
      <c r="D176" s="232" t="n"/>
      <c r="E176" s="232" t="n"/>
      <c r="F176" s="232" t="n"/>
      <c r="G176" s="232" t="n"/>
      <c r="H176" s="232" t="n"/>
      <c r="I176" s="232" t="n"/>
      <c r="J176" s="232" t="n"/>
      <c r="K176" s="232" t="n"/>
      <c r="L176" s="232" t="n"/>
      <c r="M176" s="232" t="n"/>
      <c r="N176" s="232" t="n"/>
    </row>
    <row r="177">
      <c r="A177" s="232" t="n"/>
      <c r="B177" s="232" t="n"/>
      <c r="C177" s="232" t="n"/>
      <c r="D177" s="232" t="n"/>
      <c r="E177" s="232" t="n"/>
      <c r="F177" s="232" t="n"/>
      <c r="G177" s="232" t="n"/>
      <c r="H177" s="232" t="n"/>
      <c r="I177" s="232" t="n"/>
      <c r="J177" s="232" t="n"/>
      <c r="K177" s="232" t="n"/>
      <c r="L177" s="232" t="n"/>
      <c r="M177" s="232" t="n"/>
      <c r="N177" s="232" t="n"/>
    </row>
    <row r="178">
      <c r="A178" s="232" t="n"/>
      <c r="B178" s="232" t="n"/>
      <c r="C178" s="232" t="n"/>
      <c r="D178" s="232" t="n"/>
      <c r="E178" s="232" t="n"/>
      <c r="F178" s="232" t="n"/>
      <c r="G178" s="232" t="n"/>
      <c r="H178" s="232" t="n"/>
      <c r="I178" s="232" t="n"/>
      <c r="J178" s="232" t="n"/>
      <c r="K178" s="232" t="n"/>
      <c r="L178" s="232" t="n"/>
      <c r="M178" s="232" t="n"/>
      <c r="N178" s="232" t="n"/>
    </row>
    <row r="179">
      <c r="A179" s="232" t="n"/>
      <c r="B179" s="232" t="n"/>
      <c r="C179" s="232" t="n"/>
      <c r="D179" s="232" t="n"/>
      <c r="E179" s="232" t="n"/>
      <c r="F179" s="232" t="n"/>
      <c r="G179" s="232" t="n"/>
      <c r="H179" s="232" t="n"/>
      <c r="I179" s="232" t="n"/>
      <c r="J179" s="232" t="n"/>
      <c r="K179" s="232" t="n"/>
      <c r="L179" s="232" t="n"/>
      <c r="M179" s="232" t="n"/>
      <c r="N179" s="232" t="n"/>
    </row>
    <row r="180">
      <c r="A180" s="232" t="n"/>
      <c r="B180" s="232" t="n"/>
      <c r="C180" s="232" t="n"/>
      <c r="D180" s="232" t="n"/>
      <c r="E180" s="232" t="n"/>
      <c r="F180" s="232" t="n"/>
      <c r="G180" s="232" t="n"/>
      <c r="H180" s="232" t="n"/>
      <c r="I180" s="232" t="n"/>
      <c r="J180" s="232" t="n"/>
      <c r="K180" s="232" t="n"/>
      <c r="L180" s="232" t="n"/>
      <c r="M180" s="232" t="n"/>
      <c r="N180" s="232" t="n"/>
    </row>
    <row r="181">
      <c r="A181" s="232" t="n"/>
      <c r="B181" s="232" t="n"/>
      <c r="C181" s="232" t="n"/>
      <c r="D181" s="232" t="n"/>
      <c r="E181" s="232" t="n"/>
      <c r="F181" s="232" t="n"/>
      <c r="G181" s="232" t="n"/>
      <c r="H181" s="232" t="n"/>
      <c r="I181" s="232" t="n"/>
      <c r="J181" s="232" t="n"/>
      <c r="K181" s="232" t="n"/>
      <c r="L181" s="232" t="n"/>
      <c r="M181" s="232" t="n"/>
      <c r="N181" s="232" t="n"/>
    </row>
    <row r="182">
      <c r="A182" s="232" t="n"/>
      <c r="B182" s="232" t="n"/>
      <c r="C182" s="232" t="n"/>
      <c r="D182" s="232" t="n"/>
      <c r="E182" s="232" t="n"/>
      <c r="F182" s="232" t="n"/>
      <c r="G182" s="232" t="n"/>
      <c r="H182" s="232" t="n"/>
      <c r="I182" s="232" t="n"/>
      <c r="J182" s="232" t="n"/>
      <c r="K182" s="232" t="n"/>
      <c r="L182" s="232" t="n"/>
      <c r="M182" s="232" t="n"/>
      <c r="N182" s="232" t="n"/>
    </row>
    <row r="183">
      <c r="A183" s="232" t="n"/>
      <c r="B183" s="232" t="n"/>
      <c r="C183" s="232" t="n"/>
      <c r="D183" s="232" t="n"/>
      <c r="E183" s="232" t="n"/>
      <c r="F183" s="232" t="n"/>
      <c r="G183" s="232" t="n"/>
      <c r="H183" s="232" t="n"/>
      <c r="I183" s="232" t="n"/>
      <c r="J183" s="232" t="n"/>
      <c r="K183" s="232" t="n"/>
      <c r="L183" s="232" t="n"/>
      <c r="M183" s="232" t="n"/>
      <c r="N183" s="232" t="n"/>
    </row>
    <row r="184">
      <c r="A184" s="232" t="n"/>
      <c r="B184" s="232" t="n"/>
      <c r="C184" s="232" t="n"/>
      <c r="D184" s="232" t="n"/>
      <c r="E184" s="232" t="n"/>
      <c r="F184" s="232" t="n"/>
      <c r="G184" s="232" t="n"/>
      <c r="H184" s="232" t="n"/>
      <c r="I184" s="232" t="n"/>
      <c r="J184" s="232" t="n"/>
      <c r="K184" s="232" t="n"/>
      <c r="L184" s="232" t="n"/>
      <c r="M184" s="232" t="n"/>
      <c r="N184" s="232" t="n"/>
    </row>
    <row r="185">
      <c r="A185" s="232" t="n"/>
      <c r="B185" s="232" t="n"/>
      <c r="C185" s="232" t="n"/>
      <c r="D185" s="232" t="n"/>
      <c r="E185" s="232" t="n"/>
      <c r="F185" s="232" t="n"/>
      <c r="G185" s="232" t="n"/>
      <c r="H185" s="232" t="n"/>
      <c r="I185" s="232" t="n"/>
      <c r="J185" s="232" t="n"/>
      <c r="K185" s="232" t="n"/>
      <c r="L185" s="232" t="n"/>
      <c r="M185" s="232" t="n"/>
      <c r="N185" s="232" t="n"/>
    </row>
    <row r="186">
      <c r="A186" s="232" t="n"/>
      <c r="B186" s="232" t="n"/>
      <c r="C186" s="232" t="n"/>
      <c r="D186" s="232" t="n"/>
      <c r="E186" s="232" t="n"/>
      <c r="F186" s="232" t="n"/>
      <c r="G186" s="232" t="n"/>
      <c r="H186" s="232" t="n"/>
      <c r="I186" s="232" t="n"/>
      <c r="J186" s="232" t="n"/>
      <c r="K186" s="232" t="n"/>
      <c r="L186" s="232" t="n"/>
      <c r="M186" s="232" t="n"/>
      <c r="N186" s="232" t="n"/>
    </row>
    <row r="187">
      <c r="A187" s="232" t="n"/>
      <c r="B187" s="232" t="n"/>
      <c r="C187" s="232" t="n"/>
      <c r="D187" s="232" t="n"/>
      <c r="E187" s="232" t="n"/>
      <c r="F187" s="232" t="n"/>
      <c r="G187" s="232" t="n"/>
      <c r="H187" s="232" t="n"/>
      <c r="I187" s="232" t="n"/>
      <c r="J187" s="232" t="n"/>
      <c r="K187" s="232" t="n"/>
      <c r="L187" s="232" t="n"/>
      <c r="M187" s="232" t="n"/>
      <c r="N187" s="232" t="n"/>
    </row>
    <row r="188">
      <c r="A188" s="232" t="n"/>
      <c r="B188" s="232" t="n"/>
      <c r="C188" s="232" t="n"/>
      <c r="D188" s="232" t="n"/>
      <c r="E188" s="232" t="n"/>
      <c r="F188" s="232" t="n"/>
      <c r="G188" s="232" t="n"/>
      <c r="H188" s="232" t="n"/>
      <c r="I188" s="232" t="n"/>
      <c r="J188" s="232" t="n"/>
      <c r="K188" s="232" t="n"/>
      <c r="L188" s="232" t="n"/>
      <c r="M188" s="232" t="n"/>
      <c r="N188" s="232" t="n"/>
    </row>
    <row r="189">
      <c r="A189" s="232" t="n"/>
      <c r="B189" s="232" t="n"/>
      <c r="C189" s="232" t="n"/>
      <c r="D189" s="232" t="n"/>
      <c r="E189" s="232" t="n"/>
      <c r="F189" s="232" t="n"/>
      <c r="G189" s="232" t="n"/>
      <c r="H189" s="232" t="n"/>
      <c r="I189" s="232" t="n"/>
      <c r="J189" s="232" t="n"/>
      <c r="K189" s="232" t="n"/>
      <c r="L189" s="232" t="n"/>
      <c r="M189" s="232" t="n"/>
      <c r="N189" s="232" t="n"/>
    </row>
    <row r="190">
      <c r="A190" s="232" t="n"/>
      <c r="B190" s="232" t="n"/>
      <c r="C190" s="232" t="n"/>
      <c r="D190" s="232" t="n"/>
      <c r="E190" s="232" t="n"/>
      <c r="F190" s="232" t="n"/>
      <c r="G190" s="232" t="n"/>
      <c r="H190" s="232" t="n"/>
      <c r="I190" s="232" t="n"/>
      <c r="J190" s="232" t="n"/>
      <c r="K190" s="232" t="n"/>
      <c r="L190" s="232" t="n"/>
      <c r="M190" s="232" t="n"/>
      <c r="N190" s="232" t="n"/>
    </row>
    <row r="191">
      <c r="A191" s="232" t="n"/>
      <c r="B191" s="232" t="n"/>
      <c r="C191" s="232" t="n"/>
      <c r="D191" s="232" t="n"/>
      <c r="E191" s="232" t="n"/>
      <c r="F191" s="232" t="n"/>
      <c r="G191" s="232" t="n"/>
      <c r="H191" s="232" t="n"/>
      <c r="I191" s="232" t="n"/>
      <c r="J191" s="232" t="n"/>
      <c r="K191" s="232" t="n"/>
      <c r="L191" s="232" t="n"/>
      <c r="M191" s="232" t="n"/>
      <c r="N191" s="232" t="n"/>
    </row>
    <row r="192">
      <c r="A192" s="232" t="n"/>
      <c r="B192" s="232" t="n"/>
      <c r="C192" s="232" t="n"/>
      <c r="D192" s="232" t="n"/>
      <c r="E192" s="232" t="n"/>
      <c r="F192" s="232" t="n"/>
      <c r="G192" s="232" t="n"/>
      <c r="H192" s="232" t="n"/>
      <c r="I192" s="232" t="n"/>
      <c r="J192" s="232" t="n"/>
      <c r="K192" s="232" t="n"/>
      <c r="L192" s="232" t="n"/>
      <c r="M192" s="232" t="n"/>
      <c r="N192" s="232" t="n"/>
    </row>
    <row r="193">
      <c r="A193" s="232" t="n"/>
      <c r="B193" s="232" t="n"/>
      <c r="C193" s="232" t="n"/>
      <c r="D193" s="232" t="n"/>
      <c r="E193" s="232" t="n"/>
      <c r="F193" s="232" t="n"/>
      <c r="G193" s="232" t="n"/>
      <c r="H193" s="232" t="n"/>
      <c r="I193" s="232" t="n"/>
      <c r="J193" s="232" t="n"/>
      <c r="K193" s="232" t="n"/>
      <c r="L193" s="232" t="n"/>
      <c r="M193" s="232" t="n"/>
      <c r="N193" s="232" t="n"/>
    </row>
    <row r="194">
      <c r="A194" s="232" t="n"/>
      <c r="B194" s="232" t="n"/>
      <c r="C194" s="232" t="n"/>
      <c r="D194" s="232" t="n"/>
      <c r="E194" s="232" t="n"/>
      <c r="F194" s="232" t="n"/>
      <c r="G194" s="232" t="n"/>
      <c r="H194" s="232" t="n"/>
      <c r="I194" s="232" t="n"/>
      <c r="J194" s="232" t="n"/>
      <c r="K194" s="232" t="n"/>
      <c r="L194" s="232" t="n"/>
      <c r="M194" s="232" t="n"/>
      <c r="N194" s="232" t="n"/>
    </row>
    <row r="195">
      <c r="A195" s="232" t="n"/>
      <c r="B195" s="232" t="n"/>
      <c r="C195" s="232" t="n"/>
      <c r="D195" s="232" t="n"/>
      <c r="E195" s="232" t="n"/>
      <c r="F195" s="232" t="n"/>
      <c r="G195" s="232" t="n"/>
      <c r="H195" s="232" t="n"/>
      <c r="I195" s="232" t="n"/>
      <c r="J195" s="232" t="n"/>
      <c r="K195" s="232" t="n"/>
      <c r="L195" s="232" t="n"/>
      <c r="M195" s="232" t="n"/>
      <c r="N195" s="232" t="n"/>
    </row>
    <row r="196">
      <c r="A196" s="232" t="n"/>
      <c r="B196" s="232" t="n"/>
      <c r="C196" s="232" t="n"/>
      <c r="D196" s="232" t="n"/>
      <c r="E196" s="232" t="n"/>
      <c r="F196" s="232" t="n"/>
      <c r="G196" s="232" t="n"/>
      <c r="H196" s="232" t="n"/>
      <c r="I196" s="232" t="n"/>
      <c r="J196" s="232" t="n"/>
      <c r="K196" s="232" t="n"/>
      <c r="L196" s="232" t="n"/>
      <c r="M196" s="232" t="n"/>
      <c r="N196" s="232" t="n"/>
    </row>
    <row r="197">
      <c r="A197" s="232" t="n"/>
      <c r="B197" s="232" t="n"/>
      <c r="C197" s="232" t="n"/>
      <c r="D197" s="232" t="n"/>
      <c r="E197" s="232" t="n"/>
      <c r="F197" s="232" t="n"/>
      <c r="G197" s="232" t="n"/>
      <c r="H197" s="232" t="n"/>
      <c r="I197" s="232" t="n"/>
      <c r="J197" s="232" t="n"/>
      <c r="K197" s="232" t="n"/>
      <c r="L197" s="232" t="n"/>
      <c r="M197" s="232" t="n"/>
      <c r="N197" s="232" t="n"/>
    </row>
    <row r="198">
      <c r="A198" s="232" t="n"/>
      <c r="B198" s="232" t="n"/>
      <c r="C198" s="232" t="n"/>
      <c r="D198" s="232" t="n"/>
      <c r="E198" s="232" t="n"/>
      <c r="F198" s="232" t="n"/>
      <c r="G198" s="232" t="n"/>
      <c r="H198" s="232" t="n"/>
      <c r="I198" s="232" t="n"/>
      <c r="J198" s="232" t="n"/>
      <c r="K198" s="232" t="n"/>
      <c r="L198" s="232" t="n"/>
      <c r="M198" s="232" t="n"/>
      <c r="N198" s="232" t="n"/>
    </row>
    <row r="199">
      <c r="A199" s="232" t="n"/>
      <c r="B199" s="232" t="n"/>
      <c r="C199" s="232" t="n"/>
      <c r="D199" s="232" t="n"/>
      <c r="E199" s="232" t="n"/>
      <c r="F199" s="232" t="n"/>
      <c r="G199" s="232" t="n"/>
      <c r="H199" s="232" t="n"/>
      <c r="I199" s="232" t="n"/>
      <c r="J199" s="232" t="n"/>
      <c r="K199" s="232" t="n"/>
      <c r="L199" s="232" t="n"/>
      <c r="M199" s="232" t="n"/>
      <c r="N199" s="232" t="n"/>
    </row>
    <row r="200">
      <c r="A200" s="232" t="n"/>
      <c r="B200" s="232" t="n"/>
      <c r="C200" s="232" t="n"/>
      <c r="D200" s="232" t="n"/>
      <c r="E200" s="232" t="n"/>
      <c r="F200" s="232" t="n"/>
      <c r="G200" s="232" t="n"/>
      <c r="H200" s="232" t="n"/>
      <c r="I200" s="232" t="n"/>
      <c r="J200" s="232" t="n"/>
      <c r="K200" s="232" t="n"/>
      <c r="L200" s="232" t="n"/>
      <c r="M200" s="232" t="n"/>
      <c r="N200" s="23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6">
    <mergeCell ref="A4:H4"/>
    <mergeCell ref="A8:N8"/>
    <mergeCell ref="A6:N6"/>
    <mergeCell ref="A1:G1"/>
    <mergeCell ref="A2:G2"/>
    <mergeCell ref="A5:H5"/>
  </mergeCells>
  <conditionalFormatting sqref="A6">
    <cfRule type="expression" priority="1" dxfId="3" stopIfTrue="1">
      <formula>COUNTIF($A$11:$A$150,((YEAR(今日)-1911)&amp;"/"&amp;TEXT(MONTH(今日),"00")))=0</formula>
    </cfRule>
    <cfRule type="expression" priority="2" dxfId="4" stopIfTrue="1">
      <formula>COUNTIF($A$11:$A$150,((YEAR(今日)-1911)&amp;"/"&amp;TEXT(MONTH(今日),"00")))&gt;=1</formula>
    </cfRule>
  </conditionalFormatting>
  <dataValidations count="1">
    <dataValidation sqref="M11:M45" showDropDown="0" showInputMessage="0" showErrorMessage="1" allowBlank="1" errorTitle="輸入值不合法" error="請從下拉清單選擇有效的「員警冠軍」" type="list">
      <formula1>=員警姓名清單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1"/>
  <sheetViews>
    <sheetView tabSelected="0" topLeftCell="A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5" customWidth="1" min="4" max="4"/>
    <col width="15" customWidth="1" min="5" max="5"/>
    <col width="14" customWidth="1" min="6" max="6"/>
    <col width="15" customWidth="1" min="7" max="7"/>
  </cols>
  <sheetData>
    <row r="1" ht="52" customHeight="1">
      <c r="A1" s="27" t="inlineStr">
        <is>
          <t xml:space="preserve">   ⚕  系統檢核（45 條規則・7 大類）</t>
        </is>
      </c>
      <c r="B1" s="6" t="n"/>
      <c r="C1" s="6" t="n"/>
      <c r="D1" s="6" t="n"/>
      <c r="E1" s="6" t="n"/>
      <c r="F1" s="6" t="n"/>
      <c r="G1" s="6" t="n"/>
    </row>
    <row r="2" ht="28" customHeight="1">
      <c r="A2" s="2">
        <f>"   "&amp;警察局名稱&amp;" · "&amp;分局名稱&amp;" · "&amp;派出所名稱&amp;" ｜ 健檢日："&amp;TEXT(今日,"e/mm/dd")&amp;"  ｜  按 F9 重算 ｜ 紅燈須立即處理"</f>
        <v/>
      </c>
    </row>
    <row r="3" ht="8" customHeight="1"/>
    <row r="4" ht="32" customHeight="1">
      <c r="A4" s="18" t="inlineStr">
        <is>
          <t xml:space="preserve">   💡  每條規則 D 欄公式自動算當前值，E 欄狀態燈依規則判斷紅黃綠，G 欄超連結跳問題頁。「○ 待接通」= 對應資料表尚未建立。</t>
        </is>
      </c>
      <c r="B4" s="7" t="n"/>
      <c r="C4" s="7" t="n"/>
      <c r="D4" s="7" t="n"/>
      <c r="E4" s="7" t="n"/>
      <c r="F4" s="7" t="n"/>
      <c r="G4" s="8" t="n"/>
    </row>
    <row r="5" ht="8" customHeight="1"/>
    <row r="6" ht="34" customHeight="1">
      <c r="A6" s="39" t="inlineStr">
        <is>
          <t xml:space="preserve">   ⚕  全表健康度（自動聚合 45 條燈號）</t>
        </is>
      </c>
    </row>
    <row r="7" ht="26" customHeight="1">
      <c r="A7" s="52" t="inlineStr">
        <is>
          <t xml:space="preserve">  ● 紅燈總數</t>
        </is>
      </c>
      <c r="B7" s="8" t="n"/>
      <c r="C7" s="50" t="inlineStr">
        <is>
          <t xml:space="preserve">  ⚠ 黃燈總數</t>
        </is>
      </c>
      <c r="D7" s="8" t="n"/>
      <c r="E7" s="48" t="inlineStr">
        <is>
          <t xml:space="preserve">  ● 綠燈總數</t>
        </is>
      </c>
      <c r="F7" s="8" t="n"/>
      <c r="G7" s="17" t="inlineStr">
        <is>
          <t xml:space="preserve">  ○ 其他</t>
        </is>
      </c>
    </row>
    <row r="8" ht="56" customHeight="1">
      <c r="A8" s="208">
        <f>COUNTIF($E$15:$E$59,"*紅*")</f>
        <v/>
      </c>
      <c r="B8" s="8" t="n"/>
      <c r="C8" s="209">
        <f>COUNTIF($E$15:$E$59,"*黃*")</f>
        <v/>
      </c>
      <c r="D8" s="8" t="n"/>
      <c r="E8" s="210">
        <f>COUNTIF($E$15:$E$59,"*綠*")</f>
        <v/>
      </c>
      <c r="F8" s="8" t="n"/>
      <c r="G8" s="211">
        <f>COUNTIF($E$15:$E$59,"*待接通*")+COUNTIF($E$15:$E$59,"*資訊*")</f>
        <v/>
      </c>
    </row>
    <row r="9" ht="8" customHeight="1"/>
    <row r="10" ht="34" customHeight="1">
      <c r="A10" s="39" t="inlineStr">
        <is>
          <t xml:space="preserve">   📊  7 大類縮影（每類 紅/黃/綠/待接通 數）</t>
        </is>
      </c>
    </row>
    <row r="11" ht="34" customHeight="1">
      <c r="A11" s="212" t="inlineStr">
        <is>
          <t>A 部署完整性</t>
        </is>
      </c>
      <c r="B11" s="212" t="inlineStr">
        <is>
          <t>B 資料合理性</t>
        </is>
      </c>
      <c r="C11" s="212" t="inlineStr">
        <is>
          <t>C 業務邏輯</t>
        </is>
      </c>
      <c r="D11" s="212" t="inlineStr">
        <is>
          <t>D 時效警示</t>
        </is>
      </c>
      <c r="E11" s="212" t="inlineStr">
        <is>
          <t>E 跨頁一致性</t>
        </is>
      </c>
      <c r="F11" s="212" t="inlineStr">
        <is>
          <t>F 性能監控</t>
        </is>
      </c>
      <c r="G11" s="212" t="inlineStr">
        <is>
          <t>G 環境檢測</t>
        </is>
      </c>
    </row>
    <row r="12" ht="38" customHeight="1">
      <c r="A12" s="12">
        <f>"紅 "&amp;SUMPRODUCT((LEFT($B$15:$B$59,2)="A ")*ISNUMBER(SEARCH("紅",$E$15:$E$59)))&amp;"   黃 "&amp;SUMPRODUCT((LEFT($B$15:$B$59,2)="A ")*ISNUMBER(SEARCH("黃",$E$15:$E$59)))&amp;"   綠 "&amp;SUMPRODUCT((LEFT($B$15:$B$59,2)="A ")*ISNUMBER(SEARCH("綠",$E$15:$E$59)))</f>
        <v/>
      </c>
      <c r="B12" s="12">
        <f>"紅 "&amp;SUMPRODUCT((LEFT($B$15:$B$59,2)="B ")*ISNUMBER(SEARCH("紅",$E$15:$E$59)))&amp;"   黃 "&amp;SUMPRODUCT((LEFT($B$15:$B$59,2)="B ")*ISNUMBER(SEARCH("黃",$E$15:$E$59)))&amp;"   綠 "&amp;SUMPRODUCT((LEFT($B$15:$B$59,2)="B ")*ISNUMBER(SEARCH("綠",$E$15:$E$59)))</f>
        <v/>
      </c>
      <c r="C12" s="12">
        <f>"紅 "&amp;SUMPRODUCT((LEFT($B$15:$B$59,2)="C ")*ISNUMBER(SEARCH("紅",$E$15:$E$59)))&amp;"   黃 "&amp;SUMPRODUCT((LEFT($B$15:$B$59,2)="C ")*ISNUMBER(SEARCH("黃",$E$15:$E$59)))&amp;"   綠 "&amp;SUMPRODUCT((LEFT($B$15:$B$59,2)="C ")*ISNUMBER(SEARCH("綠",$E$15:$E$59)))</f>
        <v/>
      </c>
      <c r="D12" s="12">
        <f>"紅 "&amp;SUMPRODUCT((LEFT($B$15:$B$59,2)="D ")*ISNUMBER(SEARCH("紅",$E$15:$E$59)))&amp;"   黃 "&amp;SUMPRODUCT((LEFT($B$15:$B$59,2)="D ")*ISNUMBER(SEARCH("黃",$E$15:$E$59)))&amp;"   綠 "&amp;SUMPRODUCT((LEFT($B$15:$B$59,2)="D ")*ISNUMBER(SEARCH("綠",$E$15:$E$59)))</f>
        <v/>
      </c>
      <c r="E12" s="12">
        <f>"紅 "&amp;SUMPRODUCT((LEFT($B$15:$B$59,2)="E ")*ISNUMBER(SEARCH("紅",$E$15:$E$59)))&amp;"   黃 "&amp;SUMPRODUCT((LEFT($B$15:$B$59,2)="E ")*ISNUMBER(SEARCH("黃",$E$15:$E$59)))&amp;"   綠 "&amp;SUMPRODUCT((LEFT($B$15:$B$59,2)="E ")*ISNUMBER(SEARCH("綠",$E$15:$E$59)))</f>
        <v/>
      </c>
      <c r="F12" s="12">
        <f>"紅 "&amp;SUMPRODUCT((LEFT($B$15:$B$59,2)="F ")*ISNUMBER(SEARCH("紅",$E$15:$E$59)))&amp;"   黃 "&amp;SUMPRODUCT((LEFT($B$15:$B$59,2)="F ")*ISNUMBER(SEARCH("黃",$E$15:$E$59)))&amp;"   綠 "&amp;SUMPRODUCT((LEFT($B$15:$B$59,2)="F ")*ISNUMBER(SEARCH("綠",$E$15:$E$59)))</f>
        <v/>
      </c>
      <c r="G12" s="12">
        <f>"紅 "&amp;SUMPRODUCT((LEFT($B$15:$B$59,2)="G ")*ISNUMBER(SEARCH("紅",$E$15:$E$59)))&amp;"   黃 "&amp;SUMPRODUCT((LEFT($B$15:$B$59,2)="G ")*ISNUMBER(SEARCH("黃",$E$15:$E$59)))&amp;"   綠 "&amp;SUMPRODUCT((LEFT($B$15:$B$59,2)="G ")*ISNUMBER(SEARCH("綠",$E$15:$E$59)))</f>
        <v/>
      </c>
    </row>
    <row r="13" ht="34" customHeight="1">
      <c r="A13" s="39" t="inlineStr">
        <is>
          <t xml:space="preserve">   📋  45 條檢核明細（公式自動 ｜ 點 G 欄連結跳問題頁）</t>
        </is>
      </c>
    </row>
    <row r="14" ht="34" customHeight="1">
      <c r="A14" s="10" t="inlineStr">
        <is>
          <t>編號</t>
        </is>
      </c>
      <c r="B14" s="10" t="inlineStr">
        <is>
          <t>類別</t>
        </is>
      </c>
      <c r="C14" s="102" t="inlineStr">
        <is>
          <t>規則描述</t>
        </is>
      </c>
      <c r="D14" s="10" t="inlineStr">
        <is>
          <t>當前值</t>
        </is>
      </c>
      <c r="E14" s="10" t="inlineStr">
        <is>
          <t>狀態</t>
        </is>
      </c>
      <c r="F14" s="10" t="inlineStr">
        <is>
          <t>嚴重度</t>
        </is>
      </c>
      <c r="G14" s="10" t="inlineStr">
        <is>
          <t>跳轉</t>
        </is>
      </c>
    </row>
    <row r="15" ht="28" customHeight="1">
      <c r="A15" s="152" t="inlineStr">
        <is>
          <t>A1</t>
        </is>
      </c>
      <c r="B15" s="213" t="inlineStr">
        <is>
          <t>A 部署完整性</t>
        </is>
      </c>
      <c r="C15" s="214" t="inlineStr">
        <is>
          <t>派出所名稱已填</t>
        </is>
      </c>
      <c r="D15" s="152">
        <f>IFERROR(LEN(派出所名稱)&gt;0,FALSE)</f>
        <v/>
      </c>
      <c r="E15" s="215">
        <f>IF(D15=TRUE,"● 綠","● 紅")</f>
        <v/>
      </c>
      <c r="F15" s="216" t="inlineStr">
        <is>
          <t>高</t>
        </is>
      </c>
      <c r="G15" s="97">
        <f>IFERROR(HYPERLINK("#'設定表'!B18","→ 跳轉"),"")</f>
        <v/>
      </c>
    </row>
    <row r="16" ht="28" customHeight="1">
      <c r="A16" s="152" t="inlineStr">
        <is>
          <t>A2</t>
        </is>
      </c>
      <c r="B16" s="213" t="inlineStr">
        <is>
          <t>A 部署完整性</t>
        </is>
      </c>
      <c r="C16" s="214" t="inlineStr">
        <is>
          <t>警察局＋分局名稱已填</t>
        </is>
      </c>
      <c r="D16" s="152">
        <f>IFERROR(AND(LEN(警察局名稱)&gt;0,LEN(分局名稱)&gt;0),FALSE)</f>
        <v/>
      </c>
      <c r="E16" s="215">
        <f>IF(D16=TRUE,"● 綠","● 紅")</f>
        <v/>
      </c>
      <c r="F16" s="216" t="inlineStr">
        <is>
          <t>高</t>
        </is>
      </c>
      <c r="G16" s="97">
        <f>IFERROR(HYPERLINK("#'設定表'!B16","→ 跳轉"),"")</f>
        <v/>
      </c>
    </row>
    <row r="17" ht="28" customHeight="1">
      <c r="A17" s="152" t="inlineStr">
        <is>
          <t>A3</t>
        </is>
      </c>
      <c r="B17" s="213" t="inlineStr">
        <is>
          <t>A 部署完整性</t>
        </is>
      </c>
      <c r="C17" s="214" t="inlineStr">
        <is>
          <t>員警名冊 ≥ 1 名（在職）</t>
        </is>
      </c>
      <c r="D17" s="152">
        <f>IFERROR(COUNTIFS(設定表!$B$24:$B$83,"?*",設定表!$D$24:$D$83,"是"),0)</f>
        <v/>
      </c>
      <c r="E17" s="215">
        <f>IF(ISNUMBER(D17),IF(D17&gt;=1,"● 綠","● 紅"),"○ 待接通")</f>
        <v/>
      </c>
      <c r="F17" s="216" t="inlineStr">
        <is>
          <t>高</t>
        </is>
      </c>
      <c r="G17" s="97">
        <f>IFERROR(HYPERLINK("#'設定表'!B24","→ 跳轉"),"")</f>
        <v/>
      </c>
    </row>
    <row r="18" ht="28" customHeight="1">
      <c r="A18" s="152" t="inlineStr">
        <is>
          <t>A4</t>
        </is>
      </c>
      <c r="B18" s="213" t="inlineStr">
        <is>
          <t>A 部署完整性</t>
        </is>
      </c>
      <c r="C18" s="214" t="inlineStr">
        <is>
          <t>案類清單 ≥ 1 項（納入全般）</t>
        </is>
      </c>
      <c r="D18" s="152">
        <f>IFERROR(COUNTIF(納入全般清單,"是"),0)</f>
        <v/>
      </c>
      <c r="E18" s="215">
        <f>IF(ISNUMBER(D18),IF(D18&gt;=1,"● 綠","● 紅"),"○ 待接通")</f>
        <v/>
      </c>
      <c r="F18" s="216" t="inlineStr">
        <is>
          <t>高</t>
        </is>
      </c>
      <c r="G18" s="97">
        <f>IFERROR(HYPERLINK("#'設定表'!A98","→ 跳轉"),"")</f>
        <v/>
      </c>
    </row>
    <row r="19" ht="28" customHeight="1">
      <c r="A19" s="152" t="inlineStr">
        <is>
          <t>A5</t>
        </is>
      </c>
      <c r="B19" s="213" t="inlineStr">
        <is>
          <t>A 部署完整性</t>
        </is>
      </c>
      <c r="C19" s="214" t="inlineStr">
        <is>
          <t>違規項目清單 ≥ 1 項</t>
        </is>
      </c>
      <c r="D19" s="152">
        <f>IFERROR(COUNTA(違規項目清單),0)</f>
        <v/>
      </c>
      <c r="E19" s="215">
        <f>IF(ISNUMBER(D19),IF(D19&gt;=1,"● 綠","● 紅"),"○ 待接通")</f>
        <v/>
      </c>
      <c r="F19" s="217" t="inlineStr">
        <is>
          <t>中</t>
        </is>
      </c>
      <c r="G19" s="97">
        <f>IFERROR(HYPERLINK("#'設定表'!A168","→ 跳轉"),"")</f>
        <v/>
      </c>
    </row>
    <row r="20" ht="28" customHeight="1">
      <c r="A20" s="152" t="inlineStr">
        <is>
          <t>B1</t>
        </is>
      </c>
      <c r="B20" s="213" t="inlineStr">
        <is>
          <t>B 資料合理性</t>
        </is>
      </c>
      <c r="C20" s="214" t="inlineStr">
        <is>
          <t>案件編號無重複</t>
        </is>
      </c>
      <c r="D20" s="152">
        <f>IFERROR(SUMPRODUCT((Tbl案件[編號]&lt;&gt;"")*(COUNTIF(Tbl案件[編號],Tbl案件[編號])&gt;1)),0)</f>
        <v/>
      </c>
      <c r="E20" s="215">
        <f>IF(ISNUMBER(D20),IF(D20=0,"● 綠","● 紅"),"○ 待接通")</f>
        <v/>
      </c>
      <c r="F20" s="216" t="inlineStr">
        <is>
          <t>高</t>
        </is>
      </c>
      <c r="G20" s="97">
        <f>IFERROR(HYPERLINK("#'案件資料庫'!A15","→ 跳轉"),"")</f>
        <v/>
      </c>
    </row>
    <row r="21" ht="28" customHeight="1">
      <c r="A21" s="152" t="inlineStr">
        <is>
          <t>B2</t>
        </is>
      </c>
      <c r="B21" s="213" t="inlineStr">
        <is>
          <t>B 資料合理性</t>
        </is>
      </c>
      <c r="C21" s="214" t="inlineStr">
        <is>
          <t>案件發生時間欄全為有效日期</t>
        </is>
      </c>
      <c r="D21" s="152">
        <f>IFERROR(SUMPRODUCT((Tbl案件[發生時間]&lt;&gt;"")*(NOT(ISNUMBER(Tbl案件[發生時間])))),0)</f>
        <v/>
      </c>
      <c r="E21" s="215">
        <f>IF(ISNUMBER(D21),IF(D21=0,"● 綠","● 紅"),"○ 待接通")</f>
        <v/>
      </c>
      <c r="F21" s="217" t="inlineStr">
        <is>
          <t>中</t>
        </is>
      </c>
      <c r="G21" s="97">
        <f>IFERROR(HYPERLINK("#'案件資料庫'!D15","→ 跳轉"),"")</f>
        <v/>
      </c>
    </row>
    <row r="22" ht="28" customHeight="1">
      <c r="A22" s="152" t="inlineStr">
        <is>
          <t>B3</t>
        </is>
      </c>
      <c r="B22" s="213" t="inlineStr">
        <is>
          <t>B 資料合理性</t>
        </is>
      </c>
      <c r="C22" s="214" t="inlineStr">
        <is>
          <t>案件狀況欄全為有效值（4 選 1）</t>
        </is>
      </c>
      <c r="D22" s="152">
        <f>IFERROR(SUMPRODUCT((Tbl案件[案件狀況]&lt;&gt;"")*(COUNTIF(案件狀況清單,Tbl案件[案件狀況])=0)),0)</f>
        <v/>
      </c>
      <c r="E22" s="215">
        <f>IF(ISNUMBER(D22),IF(D22=0,"● 綠","● 紅"),"○ 待接通")</f>
        <v/>
      </c>
      <c r="F22" s="216" t="inlineStr">
        <is>
          <t>高</t>
        </is>
      </c>
      <c r="G22" s="97">
        <f>IFERROR(HYPERLINK("#'案件資料庫'!J15","→ 跳轉"),"")</f>
        <v/>
      </c>
    </row>
    <row r="23" ht="28" customHeight="1">
      <c r="A23" s="152" t="inlineStr">
        <is>
          <t>B4</t>
        </is>
      </c>
      <c r="B23" s="213" t="inlineStr">
        <is>
          <t>B 資料合理性</t>
        </is>
      </c>
      <c r="C23" s="214" t="inlineStr">
        <is>
          <t>發生管轄 + 查獲管轄欄全為「本轄/他轄」</t>
        </is>
      </c>
      <c r="D23" s="152">
        <f>IFERROR(SUMPRODUCT((Tbl案件[發生管轄]&lt;&gt;"")*(COUNTIF(發生管轄清單,Tbl案件[發生管轄])=0))+SUMPRODUCT((Tbl案件[查獲管轄]&lt;&gt;"")*(COUNTIF(查獲管轄清單,Tbl案件[查獲管轄])=0)),0)</f>
        <v/>
      </c>
      <c r="E23" s="215">
        <f>IF(ISNUMBER(D23),IF(D23=0,"● 綠","● 紅"),"○ 待接通")</f>
        <v/>
      </c>
      <c r="F23" s="216" t="inlineStr">
        <is>
          <t>高</t>
        </is>
      </c>
      <c r="G23" s="97">
        <f>IFERROR(HYPERLINK("#'案件資料庫'!K15","→ 跳轉"),"")</f>
        <v/>
      </c>
    </row>
    <row r="24" ht="28" customHeight="1">
      <c r="A24" s="152" t="inlineStr">
        <is>
          <t>B5</t>
        </is>
      </c>
      <c r="B24" s="213" t="inlineStr">
        <is>
          <t>B 資料合理性</t>
        </is>
      </c>
      <c r="C24" s="214" t="inlineStr">
        <is>
          <t>是否破獲欄全為「是」或「否」（計算欄）</t>
        </is>
      </c>
      <c r="D24" s="152">
        <f>IFERROR(SUMPRODUCT((Tbl案件[是否破獲]&lt;&gt;"")*((Tbl案件[是否破獲]&lt;&gt;"是")*(Tbl案件[是否破獲]&lt;&gt;"否"))),0)</f>
        <v/>
      </c>
      <c r="E24" s="215">
        <f>IF(ISNUMBER(D24),IF(D24=0,"● 綠","● 紅"),"○ 待接通")</f>
        <v/>
      </c>
      <c r="F24" s="217" t="inlineStr">
        <is>
          <t>中</t>
        </is>
      </c>
      <c r="G24" s="97">
        <f>IFERROR(HYPERLINK("#'案件資料庫'!R15","→ 跳轉"),"")</f>
        <v/>
      </c>
    </row>
    <row r="25" ht="28" customHeight="1">
      <c r="A25" s="152" t="inlineStr">
        <is>
          <t>B6</t>
        </is>
      </c>
      <c r="B25" s="213" t="inlineStr">
        <is>
          <t>B 資料合理性</t>
        </is>
      </c>
      <c r="C25" s="214" t="inlineStr">
        <is>
          <t>涉案金額欄全為數字 ≥ 0</t>
        </is>
      </c>
      <c r="D25" s="152">
        <f>IFERROR(SUMPRODUCT((Tbl案件[涉案金額]&lt;&gt;"")*(Tbl案件[涉案金額]&lt;0)),0)</f>
        <v/>
      </c>
      <c r="E25" s="215">
        <f>IF(ISNUMBER(D25),IF(D25=0,"● 綠","● 紅"),"○ 待接通")</f>
        <v/>
      </c>
      <c r="F25" s="218" t="inlineStr">
        <is>
          <t>低</t>
        </is>
      </c>
      <c r="G25" s="97">
        <f>IFERROR(HYPERLINK("#'案件資料庫'!O15","→ 跳轉"),"")</f>
        <v/>
      </c>
    </row>
    <row r="26" ht="28" customHeight="1">
      <c r="A26" s="152" t="inlineStr">
        <is>
          <t>B7</t>
        </is>
      </c>
      <c r="B26" s="213" t="inlineStr">
        <is>
          <t>B 資料合理性</t>
        </is>
      </c>
      <c r="C26" s="214" t="inlineStr">
        <is>
          <t>毒調人口身分證長度 = 10（1 英文字母 + 9 數字）</t>
        </is>
      </c>
      <c r="D26" s="152">
        <f>IFERROR(SUMPRODUCT((Tbl毒調[身分證]&lt;&gt;"")*(LEN(Tbl毒調[身分證])&lt;&gt;10)),0)</f>
        <v/>
      </c>
      <c r="E26" s="215">
        <f>IF(ISNUMBER(D26),IF(D26=0,"● 綠","● 紅"),"○ 待接通")</f>
        <v/>
      </c>
      <c r="F26" s="217" t="inlineStr">
        <is>
          <t>中</t>
        </is>
      </c>
      <c r="G26" s="97">
        <f>IFERROR(HYPERLINK("#'毒品調驗人口管制'!C15","→ 跳轉"),"")</f>
        <v/>
      </c>
    </row>
    <row r="27" ht="28" customHeight="1">
      <c r="A27" s="152" t="inlineStr">
        <is>
          <t>B8</t>
        </is>
      </c>
      <c r="B27" s="213" t="inlineStr">
        <is>
          <t>B 資料合理性</t>
        </is>
      </c>
      <c r="C27" s="214" t="inlineStr">
        <is>
          <t>交通取締舉發單號無重複</t>
        </is>
      </c>
      <c r="D27" s="152">
        <f>IFERROR(SUMPRODUCT((Tbl交通[舉發單號]&lt;&gt;"")*(COUNTIF(Tbl交通[舉發單號],Tbl交通[舉發單號])&gt;1)),0)</f>
        <v/>
      </c>
      <c r="E27" s="215">
        <f>IF(ISNUMBER(D27),IF(D27=0,"● 綠","● 紅"),"○ 待接通")</f>
        <v/>
      </c>
      <c r="F27" s="217" t="inlineStr">
        <is>
          <t>中</t>
        </is>
      </c>
      <c r="G27" s="97">
        <f>IFERROR(HYPERLINK("#'交通取締明細'!D15","→ 跳轉"),"")</f>
        <v/>
      </c>
    </row>
    <row r="28" ht="28" customHeight="1">
      <c r="A28" s="152" t="inlineStr">
        <is>
          <t>C1</t>
        </is>
      </c>
      <c r="B28" s="213" t="inlineStr">
        <is>
          <t>C 業務邏輯</t>
        </is>
      </c>
      <c r="C28" s="214" t="inlineStr">
        <is>
          <t>「已破獲未移送」案件 偵辦進度 應為「已破獲」</t>
        </is>
      </c>
      <c r="D28" s="152">
        <f>IFERROR(SUMPRODUCT((Tbl案件[案件狀況]="已破獲未移送")*(Tbl案件[偵辦進度]&lt;&gt;"已破獲")),0)</f>
        <v/>
      </c>
      <c r="E28" s="215">
        <f>IF(ISNUMBER(D28),IF(D28=0,"● 綠","● 紅"),"○ 待接通")</f>
        <v/>
      </c>
      <c r="F28" s="217" t="inlineStr">
        <is>
          <t>中</t>
        </is>
      </c>
      <c r="G28" s="97">
        <f>IFERROR(HYPERLINK("#'案件資料庫'!J15","→ 跳轉"),"")</f>
        <v/>
      </c>
    </row>
    <row r="29" ht="28" customHeight="1">
      <c r="A29" s="152" t="inlineStr">
        <is>
          <t>C2</t>
        </is>
      </c>
      <c r="B29" s="213" t="inlineStr">
        <is>
          <t>C 業務邏輯</t>
        </is>
      </c>
      <c r="C29" s="214" t="inlineStr">
        <is>
          <t>「尚未偵破」案件 是否破獲 應為「否」</t>
        </is>
      </c>
      <c r="D29" s="152">
        <f>IFERROR(SUMPRODUCT((Tbl案件[案件狀況]="尚未偵破")*(Tbl案件[是否破獲]="是")),0)</f>
        <v/>
      </c>
      <c r="E29" s="215">
        <f>IF(ISNUMBER(D29),IF(D29=0,"● 綠","● 紅"),"○ 待接通")</f>
        <v/>
      </c>
      <c r="F29" s="216" t="inlineStr">
        <is>
          <t>高</t>
        </is>
      </c>
      <c r="G29" s="97">
        <f>IFERROR(HYPERLINK("#'案件資料庫'!J15","→ 跳轉"),"")</f>
        <v/>
      </c>
    </row>
    <row r="30" ht="28" customHeight="1">
      <c r="A30" s="152" t="inlineStr">
        <is>
          <t>C3</t>
        </is>
      </c>
      <c r="B30" s="213" t="inlineStr">
        <is>
          <t>C 業務邏輯</t>
        </is>
      </c>
      <c r="C30" s="214" t="inlineStr">
        <is>
          <t>「已移送」案件 是否破獲 應為「是」</t>
        </is>
      </c>
      <c r="D30" s="152">
        <f>IFERROR(SUMPRODUCT((Tbl案件[案件狀況]="已移送")*(Tbl案件[是否破獲]="否")),0)</f>
        <v/>
      </c>
      <c r="E30" s="215">
        <f>IF(ISNUMBER(D30),IF(D30=0,"● 綠","● 紅"),"○ 待接通")</f>
        <v/>
      </c>
      <c r="F30" s="216" t="inlineStr">
        <is>
          <t>高</t>
        </is>
      </c>
      <c r="G30" s="97">
        <f>IFERROR(HYPERLINK("#'案件資料庫'!J15","→ 跳轉"),"")</f>
        <v/>
      </c>
    </row>
    <row r="31" ht="28" customHeight="1">
      <c r="A31" s="152" t="inlineStr">
        <is>
          <t>C4</t>
        </is>
      </c>
      <c r="B31" s="213" t="inlineStr">
        <is>
          <t>C 業務邏輯</t>
        </is>
      </c>
      <c r="C31" s="214" t="inlineStr">
        <is>
          <t>毒調率分子（已驗+通緝+強採+在監）≤ 列管總數</t>
        </is>
      </c>
      <c r="D31" s="152">
        <f>IFERROR(SUM(Tbl毒調[是否到驗])-COUNTA(Tbl毒調[姓名]),0)</f>
        <v/>
      </c>
      <c r="E31" s="215">
        <f>IF(ISNUMBER(D31),IF(D31&lt;=0,"● 綠","● 紅"),"○ 待接通")</f>
        <v/>
      </c>
      <c r="F31" s="217" t="inlineStr">
        <is>
          <t>中</t>
        </is>
      </c>
      <c r="G31" s="97">
        <f>IFERROR(HYPERLINK("#'毒品調驗人口管制'!A8","→ 跳轉"),"")</f>
        <v/>
      </c>
    </row>
    <row r="32" ht="28" customHeight="1">
      <c r="A32" s="152" t="inlineStr">
        <is>
          <t>C5</t>
        </is>
      </c>
      <c r="B32" s="213" t="inlineStr">
        <is>
          <t>C 業務邏輯</t>
        </is>
      </c>
      <c r="C32" s="214" t="inlineStr">
        <is>
          <t>交通達成率全部 &lt; 200%（過高表示目標設太低）</t>
        </is>
      </c>
      <c r="D32" s="152">
        <f>IFERROR(MAX(交通績效管制!$D$14:$D$19),0)</f>
        <v/>
      </c>
      <c r="E32" s="215">
        <f>IF(ISNUMBER(D32),IF(D32&lt;2,"● 綠","⚠ 黃"),"○ 待接通")</f>
        <v/>
      </c>
      <c r="F32" s="218" t="inlineStr">
        <is>
          <t>低</t>
        </is>
      </c>
      <c r="G32" s="97">
        <f>IFERROR(HYPERLINK("#'交通績效管制'!D14","→ 跳轉"),"")</f>
        <v/>
      </c>
    </row>
    <row r="33" ht="28" customHeight="1">
      <c r="A33" s="152" t="inlineStr">
        <is>
          <t>C6</t>
        </is>
      </c>
      <c r="B33" s="213" t="inlineStr">
        <is>
          <t>C 業務邏輯</t>
        </is>
      </c>
      <c r="C33" s="214" t="inlineStr">
        <is>
          <t>歷史快照員警冠軍欄全在員警名冊內</t>
        </is>
      </c>
      <c r="D33" s="152">
        <f>IFERROR(SUMPRODUCT((Tbl歷史[員警冠軍]&lt;&gt;"")*(COUNTIF(員警姓名清單,Tbl歷史[員警冠軍])=0)),0)</f>
        <v/>
      </c>
      <c r="E33" s="215">
        <f>IF(ISNUMBER(D33),IF(D33=0,"● 綠","● 紅"),"○ 待接通")</f>
        <v/>
      </c>
      <c r="F33" s="217" t="inlineStr">
        <is>
          <t>中</t>
        </is>
      </c>
      <c r="G33" s="97">
        <f>IFERROR(HYPERLINK("#'歷史資料'!M11","→ 跳轉"),"")</f>
        <v/>
      </c>
    </row>
    <row r="34" ht="28" customHeight="1">
      <c r="A34" s="152" t="inlineStr">
        <is>
          <t>C7</t>
        </is>
      </c>
      <c r="B34" s="213" t="inlineStr">
        <is>
          <t>C 業務邏輯</t>
        </is>
      </c>
      <c r="C34" s="214" t="inlineStr">
        <is>
          <t>本轄發生 ≥ 本轄破獲（純本轄，不含拘提他轄）</t>
        </is>
      </c>
      <c r="D34" s="152">
        <f>IFERROR(COUNTIFS(Tbl案件[發生管轄],"本轄",Tbl案件[歸屬年度],(YEAR(今日)-1911))-COUNTIFS(Tbl案件[發生管轄],"本轄",Tbl案件[是否破獲],"是",Tbl案件[歸屬年度],(YEAR(今日)-1911)),0)</f>
        <v/>
      </c>
      <c r="E34" s="215">
        <f>IF(ISNUMBER(D34),IF(D34&gt;=0,"● 綠","● 紅"),"○ 待接通")</f>
        <v/>
      </c>
      <c r="F34" s="216" t="inlineStr">
        <is>
          <t>高</t>
        </is>
      </c>
      <c r="G34" s="97">
        <f>IFERROR(HYPERLINK("#'管制總覽'!A1","→ 跳轉"),"")</f>
        <v/>
      </c>
    </row>
    <row r="35" ht="28" customHeight="1">
      <c r="A35" s="152" t="inlineStr">
        <is>
          <t>C8</t>
        </is>
      </c>
      <c r="B35" s="213" t="inlineStr">
        <is>
          <t>C 業務邏輯</t>
        </is>
      </c>
      <c r="C35" s="214" t="inlineStr">
        <is>
          <t>歸屬年度計算欄無錯誤值（115 年案件 = 民國 115）</t>
        </is>
      </c>
      <c r="D35" s="152">
        <f>IFERROR(SUMPRODUCT((Tbl案件[編號]&lt;&gt;"")*ISERROR(Tbl案件[歸屬年度])),0)</f>
        <v/>
      </c>
      <c r="E35" s="215">
        <f>IF(ISNUMBER(D35),IF(D35=0,"● 綠","● 紅"),"○ 待接通")</f>
        <v/>
      </c>
      <c r="F35" s="217" t="inlineStr">
        <is>
          <t>中</t>
        </is>
      </c>
      <c r="G35" s="97">
        <f>IFERROR(HYPERLINK("#'案件資料庫'!S15","→ 跳轉"),"")</f>
        <v/>
      </c>
    </row>
    <row r="36" ht="28" customHeight="1">
      <c r="A36" s="152" t="inlineStr">
        <is>
          <t>C9</t>
        </is>
      </c>
      <c r="B36" s="213" t="inlineStr">
        <is>
          <t>C 業務邏輯</t>
        </is>
      </c>
      <c r="C36" s="214" t="inlineStr">
        <is>
          <t>他轄發生案件若已破，查獲管轄應為「本轄」（拘提他轄）</t>
        </is>
      </c>
      <c r="D36" s="152">
        <f>IFERROR(SUMPRODUCT((Tbl案件[發生管轄]="他轄")*(Tbl案件[是否破獲]="是")*(Tbl案件[查獲管轄]&lt;&gt;"本轄")*(Tbl案件[查獲管轄]&lt;&gt;"")),0)</f>
        <v/>
      </c>
      <c r="E36" s="215">
        <f>IF(ISNUMBER(D36),IF(D36=0,"● 綠","● 紅"),"○ 待接通")</f>
        <v/>
      </c>
      <c r="F36" s="217" t="inlineStr">
        <is>
          <t>中</t>
        </is>
      </c>
      <c r="G36" s="97">
        <f>IFERROR(HYPERLINK("#'案件資料庫'!L15","→ 跳轉"),"")</f>
        <v/>
      </c>
    </row>
    <row r="37" ht="28" customHeight="1">
      <c r="A37" s="152" t="inlineStr">
        <is>
          <t>C10</t>
        </is>
      </c>
      <c r="B37" s="213" t="inlineStr">
        <is>
          <t>C 業務邏輯</t>
        </is>
      </c>
      <c r="C37" s="214" t="inlineStr">
        <is>
          <t>含「強採」字樣的列管人口 是否到驗 必為 1（業務規則）</t>
        </is>
      </c>
      <c r="D37" s="152">
        <f>IFERROR(SUMPRODUCT((Tbl毒調[管制情形]&lt;&gt;"")*ISNUMBER(SEARCH("強採",Tbl毒調[管制情形]))*(Tbl毒調[是否到驗]=0)),0)</f>
        <v/>
      </c>
      <c r="E37" s="215">
        <f>IF(ISNUMBER(D37),IF(D37=0,"● 綠","● 紅"),"○ 待接通")</f>
        <v/>
      </c>
      <c r="F37" s="217" t="inlineStr">
        <is>
          <t>中</t>
        </is>
      </c>
      <c r="G37" s="97">
        <f>IFERROR(HYPERLINK("#'毒品調驗人口管制'!H15","→ 跳轉"),"")</f>
        <v/>
      </c>
    </row>
    <row r="38" ht="28" customHeight="1">
      <c r="A38" s="152" t="inlineStr">
        <is>
          <t>D1</t>
        </is>
      </c>
      <c r="B38" s="213" t="inlineStr">
        <is>
          <t>D 時效警示</t>
        </is>
      </c>
      <c r="C38" s="214" t="inlineStr">
        <is>
          <t>案件資料庫容量（≥ 800 黃 / ≥ 950 紅）</t>
        </is>
      </c>
      <c r="D38" s="152">
        <f>IFERROR(COUNTA(Tbl案件[編號]),0)</f>
        <v/>
      </c>
      <c r="E38" s="215">
        <f>IF(ISNUMBER(D38),IF(D38&gt;=950,"● 紅",IF(D38&gt;=800,"⚠ 黃","● 綠")),"○ 待接通")</f>
        <v/>
      </c>
      <c r="F38" s="216" t="inlineStr">
        <is>
          <t>高</t>
        </is>
      </c>
      <c r="G38" s="97">
        <f>IFERROR(HYPERLINK("#'案件資料庫'!A2","→ 跳轉"),"")</f>
        <v/>
      </c>
    </row>
    <row r="39" ht="28" customHeight="1">
      <c r="A39" s="152" t="inlineStr">
        <is>
          <t>D2</t>
        </is>
      </c>
      <c r="B39" s="213" t="inlineStr">
        <is>
          <t>D 時效警示</t>
        </is>
      </c>
      <c r="C39" s="214" t="inlineStr">
        <is>
          <t>毒調人口容量（≥ 50 黃 / ≥ 65 紅 ｜ 上限 70）</t>
        </is>
      </c>
      <c r="D39" s="152">
        <f>IFERROR(COUNTA(Tbl毒調[姓名]),0)</f>
        <v/>
      </c>
      <c r="E39" s="215">
        <f>IF(ISNUMBER(D39),IF(D39&gt;=65,"● 紅",IF(D39&gt;=50,"⚠ 黃","● 綠")),"○ 待接通")</f>
        <v/>
      </c>
      <c r="F39" s="217" t="inlineStr">
        <is>
          <t>中</t>
        </is>
      </c>
      <c r="G39" s="97">
        <f>IFERROR(HYPERLINK("#'毒品調驗人口管制'!A2","→ 跳轉"),"")</f>
        <v/>
      </c>
    </row>
    <row r="40" ht="28" customHeight="1">
      <c r="A40" s="152" t="inlineStr">
        <is>
          <t>D3</t>
        </is>
      </c>
      <c r="B40" s="213" t="inlineStr">
        <is>
          <t>D 時效警示</t>
        </is>
      </c>
      <c r="C40" s="214" t="inlineStr">
        <is>
          <t>交通取締容量（≥ 150 黃 / ≥ 180 紅 ｜ 上限 196）</t>
        </is>
      </c>
      <c r="D40" s="152">
        <f>IFERROR(COUNTA(Tbl交通[編號]),0)</f>
        <v/>
      </c>
      <c r="E40" s="215">
        <f>IF(ISNUMBER(D40),IF(D40&gt;=180,"● 紅",IF(D40&gt;=150,"⚠ 黃","● 綠")),"○ 待接通")</f>
        <v/>
      </c>
      <c r="F40" s="217" t="inlineStr">
        <is>
          <t>中</t>
        </is>
      </c>
      <c r="G40" s="97">
        <f>IFERROR(HYPERLINK("#'交通取締明細'!A2","→ 跳轉"),"")</f>
        <v/>
      </c>
    </row>
    <row r="41" ht="28" customHeight="1">
      <c r="A41" s="152" t="inlineStr">
        <is>
          <t>D4</t>
        </is>
      </c>
      <c r="B41" s="213" t="inlineStr">
        <is>
          <t>D 時效警示</t>
        </is>
      </c>
      <c r="C41" s="214" t="inlineStr">
        <is>
          <t>發展中老案警示（&gt; 老案閾值 件數）</t>
        </is>
      </c>
      <c r="D41" s="152">
        <f>IFERROR(COUNTIF(發展中案件管制!$J$14:$J$28,"&gt;"&amp;老案閾值),0)</f>
        <v/>
      </c>
      <c r="E41" s="215">
        <f>IF(ISNUMBER(D41),IF(D41=0,"● 綠",IF(D41&lt;=3,"⚠ 黃","● 紅")),"○ 待接通")</f>
        <v/>
      </c>
      <c r="F41" s="217" t="inlineStr">
        <is>
          <t>中</t>
        </is>
      </c>
      <c r="G41" s="97">
        <f>IFERROR(HYPERLINK("#'發展中案件管制'!A12","→ 跳轉"),"")</f>
        <v/>
      </c>
    </row>
    <row r="42" ht="28" customHeight="1">
      <c r="A42" s="152" t="inlineStr">
        <is>
          <t>D5</t>
        </is>
      </c>
      <c r="B42" s="213" t="inlineStr">
        <is>
          <t>D 時效警示</t>
        </is>
      </c>
      <c r="C42" s="214" t="inlineStr">
        <is>
          <t>未到驗或距今逾 30 日 件數（v2.2 精確 — 0 綠 / 1-5 黃 / &gt;5 紅）</t>
        </is>
      </c>
      <c r="D42" s="152">
        <f>IFERROR(SUM(Tbl毒調[候選旗標]),0)</f>
        <v/>
      </c>
      <c r="E42" s="215">
        <f>IF(ISNUMBER(D42),IF(D42=0,"● 綠",IF(D42&lt;=5,"⚠ 黃","● 紅")),"○ 待接通")</f>
        <v/>
      </c>
      <c r="F42" s="216" t="inlineStr">
        <is>
          <t>高</t>
        </is>
      </c>
      <c r="G42" s="97">
        <f>IFERROR(HYPERLINK("#'毒品調驗人口管制'!G9","→ 跳轉"),"")</f>
        <v/>
      </c>
    </row>
    <row r="43" ht="28" customHeight="1">
      <c r="A43" s="152" t="inlineStr">
        <is>
          <t>D6</t>
        </is>
      </c>
      <c r="B43" s="213" t="inlineStr">
        <is>
          <t>D 時效警示</t>
        </is>
      </c>
      <c r="C43" s="214" t="inlineStr">
        <is>
          <t>本月歷史快照已抄寫（月底前未抄 紅燈）</t>
        </is>
      </c>
      <c r="D43" s="152">
        <f>IFERROR(COUNTIF(Tbl歷史[統計年月],(YEAR(今日)-1911)&amp;"/"&amp;TEXT(MONTH(今日),"00")),0)</f>
        <v/>
      </c>
      <c r="E43" s="215">
        <f>IF(ISNUMBER(D43),IF(D43&gt;=1,"● 綠","● 紅"),"○ 待接通")</f>
        <v/>
      </c>
      <c r="F43" s="217" t="inlineStr">
        <is>
          <t>中</t>
        </is>
      </c>
      <c r="G43" s="97">
        <f>IFERROR(HYPERLINK("#'歷史資料'!A11","→ 跳轉"),"")</f>
        <v/>
      </c>
    </row>
    <row r="44" ht="28" customHeight="1">
      <c r="A44" s="152" t="inlineStr">
        <is>
          <t>D7</t>
        </is>
      </c>
      <c r="B44" s="213" t="inlineStr">
        <is>
          <t>D 時效警示</t>
        </is>
      </c>
      <c r="C44" s="214" t="inlineStr">
        <is>
          <t>孤兒承辦人（Tbl案件 承辦人不在員警名冊）</t>
        </is>
      </c>
      <c r="D44" s="152">
        <f>IFERROR(SUMPRODUCT((Tbl案件[承辦人]&lt;&gt;"")*(COUNTIF(員警姓名清單,Tbl案件[承辦人])=0)),0)</f>
        <v/>
      </c>
      <c r="E44" s="215">
        <f>IF(ISNUMBER(D44),IF(D44=0,"● 綠","● 紅"),"○ 待接通")</f>
        <v/>
      </c>
      <c r="F44" s="217" t="inlineStr">
        <is>
          <t>中</t>
        </is>
      </c>
      <c r="G44" s="97">
        <f>IFERROR(HYPERLINK("#'設定表'!B24","→ 跳轉"),"")</f>
        <v/>
      </c>
    </row>
    <row r="45" ht="28" customHeight="1">
      <c r="A45" s="152" t="inlineStr">
        <is>
          <t>D8</t>
        </is>
      </c>
      <c r="B45" s="213" t="inlineStr">
        <is>
          <t>D 時效警示</t>
        </is>
      </c>
      <c r="C45" s="214" t="inlineStr">
        <is>
          <t>已解除列管人數（資訊性，顯示本月歸檔件數）</t>
        </is>
      </c>
      <c r="D45" s="152">
        <f>IFERROR(COUNTIF(Tbl毒調[管制情形],"*解除*"),0)</f>
        <v/>
      </c>
      <c r="E45" s="215">
        <f>"ℹ 資訊"</f>
        <v/>
      </c>
      <c r="F45" s="218" t="inlineStr">
        <is>
          <t>資訊</t>
        </is>
      </c>
      <c r="G45" s="97">
        <f>IFERROR(HYPERLINK("#'毒品調驗人口管制'!H15","→ 跳轉"),"")</f>
        <v/>
      </c>
    </row>
    <row r="46" ht="28" customHeight="1">
      <c r="A46" s="152" t="inlineStr">
        <is>
          <t>E1</t>
        </is>
      </c>
      <c r="B46" s="213" t="inlineStr">
        <is>
          <t>E 跨頁一致性</t>
        </is>
      </c>
      <c r="C46" s="214" t="inlineStr">
        <is>
          <t>頁 9 達成數合計 = Tbl交通 違規明細數</t>
        </is>
      </c>
      <c r="D46" s="152">
        <f>IFERROR(SUM(交通績效管制!$C$14:$C$19)-COUNTA(Tbl交通[違規項目]),0)</f>
        <v/>
      </c>
      <c r="E46" s="215">
        <f>IF(ISNUMBER(D46),IF(D46=0,"● 綠","● 紅"),"○ 待接通")</f>
        <v/>
      </c>
      <c r="F46" s="217" t="inlineStr">
        <is>
          <t>中</t>
        </is>
      </c>
      <c r="G46" s="97">
        <f>IFERROR(HYPERLINK("#'交通取締明細'!C15","→ 跳轉"),"")</f>
        <v/>
      </c>
    </row>
    <row r="47" ht="28" customHeight="1">
      <c r="A47" s="152" t="inlineStr">
        <is>
          <t>E2</t>
        </is>
      </c>
      <c r="B47" s="213" t="inlineStr">
        <is>
          <t>E 跨頁一致性</t>
        </is>
      </c>
      <c r="C47" s="214" t="inlineStr">
        <is>
          <t>Tbl案件 是否破獲=是 加總 ≥ 0（基本不應為負）</t>
        </is>
      </c>
      <c r="D47" s="152">
        <f>IFERROR(COUNTIFS(Tbl案件[是否破獲],"是",Tbl案件[歸屬年度],(YEAR(今日)-1911)),0)</f>
        <v/>
      </c>
      <c r="E47" s="215">
        <f>IF(ISNUMBER(D47),IF(D47&gt;=0,"● 綠","● 紅"),"○ 待接通")</f>
        <v/>
      </c>
      <c r="F47" s="218" t="inlineStr">
        <is>
          <t>低</t>
        </is>
      </c>
      <c r="G47" s="97">
        <f>IFERROR(HYPERLINK("#'績效統計'!A1","→ 跳轉"),"")</f>
        <v/>
      </c>
    </row>
    <row r="48" ht="28" customHeight="1">
      <c r="A48" s="152" t="inlineStr">
        <is>
          <t>E3</t>
        </is>
      </c>
      <c r="B48" s="213" t="inlineStr">
        <is>
          <t>E 跨頁一致性</t>
        </is>
      </c>
      <c r="C48" s="214" t="inlineStr">
        <is>
          <t>頁 12 sparkline 需要歷史 ≥ 12 月才完整</t>
        </is>
      </c>
      <c r="D48" s="152">
        <f>IFERROR(COUNTA(Tbl歷史[統計年月]),0)</f>
        <v/>
      </c>
      <c r="E48" s="215">
        <f>IF(ISNUMBER(D48),IF(D48&gt;=12,"● 綠",IF(D48&gt;=6,"⚠ 黃","● 紅")),"○ 待接通")</f>
        <v/>
      </c>
      <c r="F48" s="218" t="inlineStr">
        <is>
          <t>低</t>
        </is>
      </c>
      <c r="G48" s="97">
        <f>IFERROR(HYPERLINK("#'歷史資料'!A11","→ 跳轉"),"")</f>
        <v/>
      </c>
    </row>
    <row r="49" ht="28" customHeight="1">
      <c r="A49" s="152" t="inlineStr">
        <is>
          <t>E4</t>
        </is>
      </c>
      <c r="B49" s="213" t="inlineStr">
        <is>
          <t>E 跨頁一致性</t>
        </is>
      </c>
      <c r="C49" s="214" t="inlineStr">
        <is>
          <t>頁 2.5 本所統計與頁 6 已破獲未移送 + 拘提他轄一致</t>
        </is>
      </c>
      <c r="D49" s="152">
        <f>IFERROR(COUNTIFS(Tbl案件[查獲管轄],"本轄",Tbl案件[是否破獲],"是",Tbl案件[歸屬年度],(YEAR(今日)-1911))-COUNTIFS(Tbl案件[發生管轄],"本轄",Tbl案件[是否破獲],"是",Tbl案件[歸屬年度],(YEAR(今日)-1911))-COUNTIFS(Tbl案件[發生管轄],"他轄",Tbl案件[查獲管轄],"本轄",Tbl案件[是否破獲],"是",Tbl案件[歸屬年度],(YEAR(今日)-1911)),0)</f>
        <v/>
      </c>
      <c r="E49" s="215">
        <f>IF(ISNUMBER(D49),IF(D49=0,"● 綠","● 紅"),"○ 待接通")</f>
        <v/>
      </c>
      <c r="F49" s="217" t="inlineStr">
        <is>
          <t>中</t>
        </is>
      </c>
      <c r="G49" s="97">
        <f>IFERROR(HYPERLINK("#'全般刑案管制情形分析'!A1","→ 跳轉"),"")</f>
        <v/>
      </c>
    </row>
    <row r="50" ht="28" customHeight="1">
      <c r="A50" s="152" t="inlineStr">
        <is>
          <t>E5</t>
        </is>
      </c>
      <c r="B50" s="213" t="inlineStr">
        <is>
          <t>E 跨頁一致性</t>
        </is>
      </c>
      <c r="C50" s="214" t="inlineStr">
        <is>
          <t>案類分類欄全部對應到 D 區案類名稱（無孤值）</t>
        </is>
      </c>
      <c r="D50" s="152">
        <f>IFERROR(SUMPRODUCT((Tbl案件[案類]&lt;&gt;"")*(COUNTIF(案類名稱清單,Tbl案件[案類])=0)),0)</f>
        <v/>
      </c>
      <c r="E50" s="215">
        <f>IF(ISNUMBER(D50),IF(D50=0,"● 綠","● 紅"),"○ 待接通")</f>
        <v/>
      </c>
      <c r="F50" s="217" t="inlineStr">
        <is>
          <t>中</t>
        </is>
      </c>
      <c r="G50" s="97">
        <f>IFERROR(HYPERLINK("#'案件資料庫'!B15","→ 跳轉"),"")</f>
        <v/>
      </c>
    </row>
    <row r="51" ht="28" customHeight="1">
      <c r="A51" s="152" t="inlineStr">
        <is>
          <t>E6</t>
        </is>
      </c>
      <c r="B51" s="213" t="inlineStr">
        <is>
          <t>E 跨頁一致性</t>
        </is>
      </c>
      <c r="C51" s="214" t="inlineStr">
        <is>
          <t>毒調率 ≥ 目標（設定表閾值 60%）</t>
        </is>
      </c>
      <c r="D51" s="152">
        <f>IFERROR(SUM(Tbl毒調[是否到驗])/COUNTA(Tbl毒調[姓名]),0)</f>
        <v/>
      </c>
      <c r="E51" s="215">
        <f>IF(ISNUMBER(D51),IF(D51&gt;=毒調率目標,"● 綠",IF(D51&gt;=毒調率目標*0.8,"⚠ 黃","● 紅")),"○ 待接通")</f>
        <v/>
      </c>
      <c r="F51" s="217" t="inlineStr">
        <is>
          <t>中</t>
        </is>
      </c>
      <c r="G51" s="97">
        <f>IFERROR(HYPERLINK("#'毒品調驗人口管制'!A11","→ 跳轉"),"")</f>
        <v/>
      </c>
    </row>
    <row r="52" ht="28" customHeight="1">
      <c r="A52" s="152" t="inlineStr">
        <is>
          <t>F1</t>
        </is>
      </c>
      <c r="B52" s="213" t="inlineStr">
        <is>
          <t>F 性能監控</t>
        </is>
      </c>
      <c r="C52" s="214" t="inlineStr">
        <is>
          <t>公式總量目標 ≤ 12,000 條（v43 為 26,465；目前由 build script 統計）</t>
        </is>
      </c>
      <c r="D52" s="152">
        <f>"目標 ≤ 12000"</f>
        <v/>
      </c>
      <c r="E52" s="215">
        <f>"ℹ 資訊"</f>
        <v/>
      </c>
      <c r="F52" s="218" t="inlineStr">
        <is>
          <t>資訊</t>
        </is>
      </c>
      <c r="G52" s="162" t="inlineStr">
        <is>
          <t>—</t>
        </is>
      </c>
    </row>
    <row r="53" ht="28" customHeight="1">
      <c r="A53" s="152" t="inlineStr">
        <is>
          <t>F2</t>
        </is>
      </c>
      <c r="B53" s="213" t="inlineStr">
        <is>
          <t>F 性能監控</t>
        </is>
      </c>
      <c r="C53" s="214" t="inlineStr">
        <is>
          <t>檔案大小目標 ≤ 500 KB（v2.1 約 125 KB ✓）</t>
        </is>
      </c>
      <c r="D53" s="152">
        <f>"目標 ≤ 500 KB"</f>
        <v/>
      </c>
      <c r="E53" s="215">
        <f>"ℹ 資訊"</f>
        <v/>
      </c>
      <c r="F53" s="218" t="inlineStr">
        <is>
          <t>資訊</t>
        </is>
      </c>
      <c r="G53" s="162" t="inlineStr">
        <is>
          <t>—</t>
        </is>
      </c>
    </row>
    <row r="54" ht="28" customHeight="1">
      <c r="A54" s="152" t="inlineStr">
        <is>
          <t>F3</t>
        </is>
      </c>
      <c r="B54" s="213" t="inlineStr">
        <is>
          <t>F 性能監控</t>
        </is>
      </c>
      <c r="C54" s="214" t="inlineStr">
        <is>
          <t>揮發性函數使用 ≤ 3 處（TODAY 集中設定表「今日」一格 ✓）</t>
        </is>
      </c>
      <c r="D54" s="152">
        <f>"TODAY 已集中"</f>
        <v/>
      </c>
      <c r="E54" s="215">
        <f>"ℹ 資訊"</f>
        <v/>
      </c>
      <c r="F54" s="218" t="inlineStr">
        <is>
          <t>資訊</t>
        </is>
      </c>
      <c r="G54" s="97">
        <f>IFERROR(HYPERLINK("#'設定表'!B4","→ 跳轉"),"")</f>
        <v/>
      </c>
    </row>
    <row r="55" ht="28" customHeight="1">
      <c r="A55" s="152" t="inlineStr">
        <is>
          <t>F4</t>
        </is>
      </c>
      <c r="B55" s="213" t="inlineStr">
        <is>
          <t>F 性能監控</t>
        </is>
      </c>
      <c r="C55" s="214" t="inlineStr">
        <is>
          <t>條件格式規則 每張表 ≤ 8 條（頁 2 為 54 特殊豁免）</t>
        </is>
      </c>
      <c r="D55" s="152">
        <f>"目標 每表 ≤ 8"</f>
        <v/>
      </c>
      <c r="E55" s="215">
        <f>"ℹ 資訊"</f>
        <v/>
      </c>
      <c r="F55" s="218" t="inlineStr">
        <is>
          <t>資訊</t>
        </is>
      </c>
      <c r="G55" s="162" t="inlineStr">
        <is>
          <t>—</t>
        </is>
      </c>
    </row>
    <row r="56" ht="28" customHeight="1">
      <c r="A56" s="152" t="inlineStr">
        <is>
          <t>F5</t>
        </is>
      </c>
      <c r="B56" s="213" t="inlineStr">
        <is>
          <t>F 性能監控</t>
        </is>
      </c>
      <c r="C56" s="214" t="inlineStr">
        <is>
          <t>無循環引用（Excel 開檔自動偵測，若有會彈警示視窗）</t>
        </is>
      </c>
      <c r="D56" s="152">
        <f>"Excel 自動偵測"</f>
        <v/>
      </c>
      <c r="E56" s="215">
        <f>"ℹ 資訊"</f>
        <v/>
      </c>
      <c r="F56" s="218" t="inlineStr">
        <is>
          <t>資訊</t>
        </is>
      </c>
      <c r="G56" s="162" t="inlineStr">
        <is>
          <t>—</t>
        </is>
      </c>
    </row>
    <row r="57" ht="28" customHeight="1">
      <c r="A57" s="152" t="inlineStr">
        <is>
          <t>G1</t>
        </is>
      </c>
      <c r="B57" s="213" t="inlineStr">
        <is>
          <t>G 環境檢測</t>
        </is>
      </c>
      <c r="C57" s="214" t="inlineStr">
        <is>
          <t>Excel 版本 ≥ 2016（FILTER/SORT 需 365+，否則用 Fallback）</t>
        </is>
      </c>
      <c r="D57" s="152">
        <f>IFERROR(INFO("release"),"未知")</f>
        <v/>
      </c>
      <c r="E57" s="215">
        <f>IF(VALUE(D57)&gt;=16,"● 綠","⚠ 黃")</f>
        <v/>
      </c>
      <c r="F57" s="217" t="inlineStr">
        <is>
          <t>中</t>
        </is>
      </c>
      <c r="G57" s="162" t="inlineStr">
        <is>
          <t>—</t>
        </is>
      </c>
    </row>
    <row r="58" ht="28" customHeight="1">
      <c r="A58" s="152" t="inlineStr">
        <is>
          <t>G2</t>
        </is>
      </c>
      <c r="B58" s="213" t="inlineStr">
        <is>
          <t>G 環境檢測</t>
        </is>
      </c>
      <c r="C58" s="214" t="inlineStr">
        <is>
          <t>中文字體（微軟正黑體）已內建於 Windows 10/11 + Office</t>
        </is>
      </c>
      <c r="D58" s="152">
        <f>"系統內建"</f>
        <v/>
      </c>
      <c r="E58" s="215">
        <f>"ℹ 資訊"</f>
        <v/>
      </c>
      <c r="F58" s="218" t="inlineStr">
        <is>
          <t>資訊</t>
        </is>
      </c>
      <c r="G58" s="162" t="inlineStr">
        <is>
          <t>—</t>
        </is>
      </c>
    </row>
    <row r="59" ht="28" customHeight="1">
      <c r="A59" s="152" t="inlineStr">
        <is>
          <t>G3</t>
        </is>
      </c>
      <c r="B59" s="213" t="inlineStr">
        <is>
          <t>G 環境檢測</t>
        </is>
      </c>
      <c r="C59" s="214" t="inlineStr">
        <is>
          <t>中文編碼正確（UTF-8 BOM，無亂碼）</t>
        </is>
      </c>
      <c r="D59" s="152">
        <f>"UTF-8 ✓"</f>
        <v/>
      </c>
      <c r="E59" s="215">
        <f>"ℹ 資訊"</f>
        <v/>
      </c>
      <c r="F59" s="218" t="inlineStr">
        <is>
          <t>資訊</t>
        </is>
      </c>
      <c r="G59" s="162" t="inlineStr">
        <is>
          <t>—</t>
        </is>
      </c>
    </row>
    <row r="60" ht="12" customHeight="1"/>
    <row r="61" ht="22" customHeight="1">
      <c r="A61" s="82">
        <f>"© KKEVIN-LIN-2026-V2.1  ｜  45 條檢核規則（7 大類）  ｜  健檢時間："&amp;TEXT(今日,"e/mm/dd")&amp;"  ｜  按 F9 強制重算"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B"/>
  <mergeCells count="15">
    <mergeCell ref="A13:G13"/>
    <mergeCell ref="A61:G61"/>
    <mergeCell ref="A1:G1"/>
    <mergeCell ref="C7:D7"/>
    <mergeCell ref="A7:B7"/>
    <mergeCell ref="G8"/>
    <mergeCell ref="E7:F7"/>
    <mergeCell ref="A10:G10"/>
    <mergeCell ref="A6:G6"/>
    <mergeCell ref="A4:G4"/>
    <mergeCell ref="G7"/>
    <mergeCell ref="A2:G2"/>
    <mergeCell ref="A8:B8"/>
    <mergeCell ref="E8:F8"/>
    <mergeCell ref="C8:D8"/>
  </mergeCells>
  <conditionalFormatting sqref="E15:E59">
    <cfRule type="expression" priority="1" dxfId="0" stopIfTrue="0">
      <formula>ISNUMBER(SEARCH("紅",E15))</formula>
    </cfRule>
    <cfRule type="expression" priority="2" dxfId="1" stopIfTrue="0">
      <formula>ISNUMBER(SEARCH("黃",E15))</formula>
    </cfRule>
    <cfRule type="expression" priority="3" dxfId="2" stopIfTrue="0">
      <formula>ISNUMBER(SEARCH("綠",E15))</formula>
    </cfRule>
    <cfRule type="expression" priority="4" dxfId="5" stopIfTrue="0">
      <formula>OR(ISNUMBER(SEARCH("待接通",E15)),ISNUMBER(SEARCH("資訊",E15)))</formula>
    </cfRule>
  </conditionalFormatting>
  <conditionalFormatting sqref="A15:G59">
    <cfRule type="expression" priority="5" dxfId="6" stopIfTrue="0">
      <formula>ISNUMBER(SEARCH("紅",$E15))</formula>
    </cfRule>
    <cfRule type="expression" priority="6" dxfId="7" stopIfTrue="0">
      <formula>ISNUMBER(SEARCH("黃",$E15))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2026-05-28T08:56:51Z</dcterms:created>
  <dcterms:modified xsi:type="dcterms:W3CDTF">2026-05-28T08:57:37Z</dcterms:modified>
</cp:coreProperties>
</file>