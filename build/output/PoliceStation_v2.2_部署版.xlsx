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是否破獲"/>
    <tableColumn id="15" name="歸屬年度"/>
    <tableColumn id="16" name="案類分類"/>
    <tableColumn id="17" name="是否納入統計"/>
    <tableColumn id="18" name="主排序鍵"/>
    <tableColumn id="19" name="績效類別"/>
    <tableColumn id="20" name="計入發生數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3" t="n"/>
      <c r="C3" s="33" t="n"/>
      <c r="D3" s="33" t="n"/>
      <c r="E3" s="33" t="n"/>
      <c r="F3" s="33" t="n"/>
      <c r="G3" s="33" t="n"/>
      <c r="H3" s="33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3" t="n"/>
      <c r="C35" s="33" t="n"/>
      <c r="D35" s="33" t="n"/>
      <c r="E35" s="193" t="inlineStr">
        <is>
          <t xml:space="preserve">  督導官：__________________  簽章</t>
        </is>
      </c>
      <c r="F35" s="33" t="n"/>
      <c r="G35" s="33" t="n"/>
      <c r="H35" s="33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3" t="n"/>
      <c r="C27" s="33" t="n"/>
      <c r="D27" s="33" t="n"/>
      <c r="E27" s="193" t="inlineStr">
        <is>
          <t xml:space="preserve">  收文機關承辦：__________________  簽章</t>
        </is>
      </c>
      <c r="F27" s="33" t="n"/>
      <c r="G27" s="33" t="n"/>
      <c r="H27" s="33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4" customWidth="1" min="17" max="17"/>
    <col width="12" customWidth="1" min="18" max="18"/>
    <col width="14" customWidth="1" min="19" max="19"/>
    <col width="12" customWidth="1" min="20" max="20"/>
    <col width="18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是否破獲</t>
        </is>
      </c>
      <c r="O14" s="10" t="inlineStr">
        <is>
          <t>歸屬年度</t>
        </is>
      </c>
      <c r="P14" s="10" t="inlineStr">
        <is>
          <t>案類分類</t>
        </is>
      </c>
      <c r="Q14" s="10" t="inlineStr">
        <is>
          <t>是否納入統計</t>
        </is>
      </c>
      <c r="R14" s="10" t="inlineStr">
        <is>
          <t>主排序鍵</t>
        </is>
      </c>
      <c r="S14" s="10" t="inlineStr">
        <is>
          <t>績效類別</t>
        </is>
      </c>
      <c r="T14" s="10" t="inlineStr">
        <is>
          <t>計入發生數</t>
        </is>
      </c>
      <c r="U14" s="10" t="inlineStr">
        <is>
          <t>自填案類</t>
        </is>
      </c>
    </row>
    <row r="15" ht="30" customHeight="1">
      <c r="A15" s="223" t="n"/>
      <c r="B15" s="223" t="n"/>
      <c r="C15" s="223" t="n"/>
      <c r="D15" s="224" t="n"/>
      <c r="E15" s="223" t="n"/>
      <c r="F15" s="224" t="inlineStr"/>
      <c r="G15" s="223" t="inlineStr"/>
      <c r="H15" s="223" t="n"/>
      <c r="I15" s="223" t="n"/>
      <c r="J15" s="223" t="n"/>
      <c r="K15" s="223" t="n"/>
      <c r="L15" s="223" t="inlineStr"/>
      <c r="M15" s="223" t="n"/>
      <c r="N15" s="15">
        <f>IFERROR(IF(OR(J15="已破獲未移送",J15="已移送"),"是","否"),"")</f>
        <v/>
      </c>
      <c r="O15" s="15">
        <f>IFERROR(IF(D15="","",YEAR(D15)-1911),"")</f>
        <v/>
      </c>
      <c r="P15" s="15">
        <f>IFERROR(INDEX(案類分類清單,MATCH(B15,案類名稱清單,0)),"")</f>
        <v/>
      </c>
      <c r="Q15" s="15">
        <f>IFERROR(INDEX(納入全般清單,MATCH(B15,案類名稱清單,0)),"否")</f>
        <v/>
      </c>
      <c r="R15" s="15">
        <f>IFERROR(O15*10000+IFERROR(MATCH(J15,{"尚未偵破","已破獲未移送","已移送","簽結"},0),0)*100+ROW(),0)</f>
        <v/>
      </c>
      <c r="S15" s="223" t="inlineStr"/>
      <c r="T15" s="15">
        <f>IFERROR(IF(S15="","是","否"),"是")</f>
        <v/>
      </c>
      <c r="U15" s="223" t="inlineStr"/>
    </row>
    <row r="16" ht="30" customHeight="1">
      <c r="A16" s="223" t="n"/>
      <c r="B16" s="223" t="n"/>
      <c r="C16" s="223" t="n"/>
      <c r="D16" s="224" t="n"/>
      <c r="E16" s="223" t="n"/>
      <c r="F16" s="224" t="n"/>
      <c r="G16" s="223" t="n"/>
      <c r="H16" s="223" t="n"/>
      <c r="I16" s="223" t="n"/>
      <c r="J16" s="223" t="n"/>
      <c r="K16" s="223" t="n"/>
      <c r="L16" s="223" t="n"/>
      <c r="M16" s="223" t="n"/>
      <c r="N16" s="15">
        <f>IFERROR(IF(OR(J16="已破獲未移送",J16="已移送"),"是","否"),"")</f>
        <v/>
      </c>
      <c r="O16" s="15">
        <f>IFERROR(IF(D16="","",YEAR(D16)-1911),"")</f>
        <v/>
      </c>
      <c r="P16" s="15">
        <f>IFERROR(INDEX(案類分類清單,MATCH(B16,案類名稱清單,0)),"")</f>
        <v/>
      </c>
      <c r="Q16" s="15">
        <f>IFERROR(INDEX(納入全般清單,MATCH(B16,案類名稱清單,0)),"否")</f>
        <v/>
      </c>
      <c r="R16" s="15">
        <f>IFERROR(O16*10000+IFERROR(MATCH(J16,{"尚未偵破","已破獲未移送","已移送","簽結"},0),0)*100+ROW(),0)</f>
        <v/>
      </c>
      <c r="S16" s="223" t="inlineStr"/>
      <c r="T16" s="15">
        <f>IFERROR(IF(S16="","是","否"),"是")</f>
        <v/>
      </c>
      <c r="U16" s="223" t="inlineStr"/>
    </row>
    <row r="17" ht="30" customHeight="1">
      <c r="A17" s="223" t="n"/>
      <c r="B17" s="223" t="n"/>
      <c r="C17" s="223" t="n"/>
      <c r="D17" s="224" t="n"/>
      <c r="E17" s="223" t="n"/>
      <c r="F17" s="224" t="n"/>
      <c r="G17" s="223" t="n"/>
      <c r="H17" s="223" t="n"/>
      <c r="I17" s="223" t="n"/>
      <c r="J17" s="223" t="n"/>
      <c r="K17" s="223" t="n"/>
      <c r="L17" s="223" t="n"/>
      <c r="M17" s="223" t="n"/>
      <c r="N17" s="15">
        <f>IFERROR(IF(OR(J17="已破獲未移送",J17="已移送"),"是","否"),"")</f>
        <v/>
      </c>
      <c r="O17" s="15">
        <f>IFERROR(IF(D17="","",YEAR(D17)-1911),"")</f>
        <v/>
      </c>
      <c r="P17" s="15">
        <f>IFERROR(INDEX(案類分類清單,MATCH(B17,案類名稱清單,0)),"")</f>
        <v/>
      </c>
      <c r="Q17" s="15">
        <f>IFERROR(INDEX(納入全般清單,MATCH(B17,案類名稱清單,0)),"否")</f>
        <v/>
      </c>
      <c r="R17" s="15">
        <f>IFERROR(O17*10000+IFERROR(MATCH(J17,{"尚未偵破","已破獲未移送","已移送","簽結"},0),0)*100+ROW(),0)</f>
        <v/>
      </c>
      <c r="S17" s="223" t="n"/>
      <c r="T17" s="15">
        <f>IFERROR(IF(S17="","是","否"),"是")</f>
        <v/>
      </c>
      <c r="U17" s="223" t="inlineStr"/>
    </row>
    <row r="18" ht="30" customHeight="1">
      <c r="A18" s="223" t="n"/>
      <c r="B18" s="223" t="n"/>
      <c r="C18" s="223" t="n"/>
      <c r="D18" s="224" t="n"/>
      <c r="E18" s="223" t="n"/>
      <c r="F18" s="224" t="n"/>
      <c r="G18" s="223" t="n"/>
      <c r="H18" s="223" t="n"/>
      <c r="I18" s="223" t="n"/>
      <c r="J18" s="223" t="n"/>
      <c r="K18" s="223" t="n"/>
      <c r="L18" s="223" t="n"/>
      <c r="M18" s="223" t="n"/>
      <c r="N18" s="15">
        <f>IFERROR(IF(OR(J18="已破獲未移送",J18="已移送"),"是","否"),"")</f>
        <v/>
      </c>
      <c r="O18" s="15">
        <f>IFERROR(IF(D18="","",YEAR(D18)-1911),"")</f>
        <v/>
      </c>
      <c r="P18" s="15">
        <f>IFERROR(INDEX(案類分類清單,MATCH(B18,案類名稱清單,0)),"")</f>
        <v/>
      </c>
      <c r="Q18" s="15">
        <f>IFERROR(INDEX(納入全般清單,MATCH(B18,案類名稱清單,0)),"否")</f>
        <v/>
      </c>
      <c r="R18" s="15">
        <f>IFERROR(O18*10000+IFERROR(MATCH(J18,{"尚未偵破","已破獲未移送","已移送","簽結"},0),0)*100+ROW(),0)</f>
        <v/>
      </c>
      <c r="S18" s="223" t="n"/>
      <c r="T18" s="15">
        <f>IFERROR(IF(S18="","是","否"),"是")</f>
        <v/>
      </c>
      <c r="U18" s="223" t="inlineStr"/>
    </row>
    <row r="19" ht="30" customHeight="1">
      <c r="A19" s="225" t="n"/>
      <c r="B19" s="225" t="n"/>
      <c r="C19" s="225" t="n"/>
      <c r="D19" s="226" t="n"/>
      <c r="E19" s="225" t="n"/>
      <c r="F19" s="226" t="n"/>
      <c r="G19" s="225" t="n"/>
      <c r="H19" s="225" t="n"/>
      <c r="I19" s="225" t="n"/>
      <c r="J19" s="225" t="n"/>
      <c r="K19" s="225" t="n"/>
      <c r="L19" s="225" t="n"/>
      <c r="M19" s="225" t="n"/>
      <c r="N19" s="15">
        <f>IFERROR(IF(OR(J19="已破獲未移送",J19="已移送"),"是","否"),"")</f>
        <v/>
      </c>
      <c r="O19" s="15">
        <f>IFERROR(IF(D19="","",YEAR(D19)-1911),"")</f>
        <v/>
      </c>
      <c r="P19" s="15">
        <f>IFERROR(INDEX(案類分類清單,MATCH(B19,案類名稱清單,0)),"")</f>
        <v/>
      </c>
      <c r="Q19" s="15">
        <f>IFERROR(INDEX(納入全般清單,MATCH(B19,案類名稱清單,0)),"否")</f>
        <v/>
      </c>
      <c r="R19" s="15">
        <f>IFERROR(O19*10000+IFERROR(MATCH(J19,{"尚未偵破","已破獲未移送","已移送","簽結"},0),0)*100+ROW(),0)</f>
        <v/>
      </c>
      <c r="S19" s="225" t="n"/>
      <c r="T19" s="15">
        <f>IFERROR(IF(S19="","是","否"),"是")</f>
        <v/>
      </c>
      <c r="U19" s="225" t="n"/>
    </row>
    <row r="20" ht="30" customHeight="1">
      <c r="A20" s="225" t="n"/>
      <c r="B20" s="225" t="n"/>
      <c r="C20" s="225" t="n"/>
      <c r="D20" s="226" t="n"/>
      <c r="E20" s="225" t="n"/>
      <c r="F20" s="226" t="n"/>
      <c r="G20" s="225" t="n"/>
      <c r="H20" s="225" t="n"/>
      <c r="I20" s="225" t="n"/>
      <c r="J20" s="225" t="n"/>
      <c r="K20" s="225" t="n"/>
      <c r="L20" s="225" t="n"/>
      <c r="M20" s="225" t="n"/>
      <c r="N20" s="15">
        <f>IFERROR(IF(OR(J20="已破獲未移送",J20="已移送"),"是","否"),"")</f>
        <v/>
      </c>
      <c r="O20" s="15">
        <f>IFERROR(IF(D20="","",YEAR(D20)-1911),"")</f>
        <v/>
      </c>
      <c r="P20" s="15">
        <f>IFERROR(INDEX(案類分類清單,MATCH(B20,案類名稱清單,0)),"")</f>
        <v/>
      </c>
      <c r="Q20" s="15">
        <f>IFERROR(INDEX(納入全般清單,MATCH(B20,案類名稱清單,0)),"否")</f>
        <v/>
      </c>
      <c r="R20" s="15">
        <f>IFERROR(O20*10000+IFERROR(MATCH(J20,{"尚未偵破","已破獲未移送","已移送","簽結"},0),0)*100+ROW(),0)</f>
        <v/>
      </c>
      <c r="S20" s="225" t="n"/>
      <c r="T20" s="15">
        <f>IFERROR(IF(S20="","是","否"),"是")</f>
        <v/>
      </c>
      <c r="U20" s="225" t="n"/>
    </row>
    <row r="21" ht="30" customHeight="1">
      <c r="A21" s="225" t="n"/>
      <c r="B21" s="225" t="n"/>
      <c r="C21" s="225" t="n"/>
      <c r="D21" s="226" t="n"/>
      <c r="E21" s="225" t="n"/>
      <c r="F21" s="226" t="n"/>
      <c r="G21" s="225" t="n"/>
      <c r="H21" s="225" t="n"/>
      <c r="I21" s="225" t="n"/>
      <c r="J21" s="225" t="n"/>
      <c r="K21" s="225" t="n"/>
      <c r="L21" s="225" t="n"/>
      <c r="M21" s="225" t="n"/>
      <c r="N21" s="15">
        <f>IFERROR(IF(OR(J21="已破獲未移送",J21="已移送"),"是","否"),"")</f>
        <v/>
      </c>
      <c r="O21" s="15">
        <f>IFERROR(IF(D21="","",YEAR(D21)-1911),"")</f>
        <v/>
      </c>
      <c r="P21" s="15">
        <f>IFERROR(INDEX(案類分類清單,MATCH(B21,案類名稱清單,0)),"")</f>
        <v/>
      </c>
      <c r="Q21" s="15">
        <f>IFERROR(INDEX(納入全般清單,MATCH(B21,案類名稱清單,0)),"否")</f>
        <v/>
      </c>
      <c r="R21" s="15">
        <f>IFERROR(O21*10000+IFERROR(MATCH(J21,{"尚未偵破","已破獲未移送","已移送","簽結"},0),0)*100+ROW(),0)</f>
        <v/>
      </c>
      <c r="S21" s="225" t="n"/>
      <c r="T21" s="15">
        <f>IFERROR(IF(S21="","是","否"),"是")</f>
        <v/>
      </c>
      <c r="U21" s="225" t="n"/>
    </row>
    <row r="22" ht="30" customHeight="1">
      <c r="A22" s="225" t="n"/>
      <c r="B22" s="225" t="n"/>
      <c r="C22" s="225" t="n"/>
      <c r="D22" s="226" t="n"/>
      <c r="E22" s="225" t="n"/>
      <c r="F22" s="226" t="n"/>
      <c r="G22" s="225" t="n"/>
      <c r="H22" s="225" t="n"/>
      <c r="I22" s="225" t="n"/>
      <c r="J22" s="225" t="n"/>
      <c r="K22" s="225" t="n"/>
      <c r="L22" s="225" t="n"/>
      <c r="M22" s="225" t="n"/>
      <c r="N22" s="15">
        <f>IFERROR(IF(OR(J22="已破獲未移送",J22="已移送"),"是","否"),"")</f>
        <v/>
      </c>
      <c r="O22" s="15">
        <f>IFERROR(IF(D22="","",YEAR(D22)-1911),"")</f>
        <v/>
      </c>
      <c r="P22" s="15">
        <f>IFERROR(INDEX(案類分類清單,MATCH(B22,案類名稱清單,0)),"")</f>
        <v/>
      </c>
      <c r="Q22" s="15">
        <f>IFERROR(INDEX(納入全般清單,MATCH(B22,案類名稱清單,0)),"否")</f>
        <v/>
      </c>
      <c r="R22" s="15">
        <f>IFERROR(O22*10000+IFERROR(MATCH(J22,{"尚未偵破","已破獲未移送","已移送","簽結"},0),0)*100+ROW(),0)</f>
        <v/>
      </c>
      <c r="S22" s="225" t="n"/>
      <c r="T22" s="15">
        <f>IFERROR(IF(S22="","是","否"),"是")</f>
        <v/>
      </c>
      <c r="U22" s="225" t="n"/>
    </row>
    <row r="23" ht="30" customHeight="1">
      <c r="A23" s="225" t="n"/>
      <c r="B23" s="225" t="n"/>
      <c r="C23" s="225" t="n"/>
      <c r="D23" s="226" t="n"/>
      <c r="E23" s="225" t="n"/>
      <c r="F23" s="226" t="n"/>
      <c r="G23" s="225" t="n"/>
      <c r="H23" s="225" t="n"/>
      <c r="I23" s="225" t="n"/>
      <c r="J23" s="225" t="n"/>
      <c r="K23" s="225" t="n"/>
      <c r="L23" s="225" t="n"/>
      <c r="M23" s="225" t="n"/>
      <c r="N23" s="15">
        <f>IFERROR(IF(OR(J23="已破獲未移送",J23="已移送"),"是","否"),"")</f>
        <v/>
      </c>
      <c r="O23" s="15">
        <f>IFERROR(IF(D23="","",YEAR(D23)-1911),"")</f>
        <v/>
      </c>
      <c r="P23" s="15">
        <f>IFERROR(INDEX(案類分類清單,MATCH(B23,案類名稱清單,0)),"")</f>
        <v/>
      </c>
      <c r="Q23" s="15">
        <f>IFERROR(INDEX(納入全般清單,MATCH(B23,案類名稱清單,0)),"否")</f>
        <v/>
      </c>
      <c r="R23" s="15">
        <f>IFERROR(O23*10000+IFERROR(MATCH(J23,{"尚未偵破","已破獲未移送","已移送","簽結"},0),0)*100+ROW(),0)</f>
        <v/>
      </c>
      <c r="S23" s="225" t="n"/>
      <c r="T23" s="15">
        <f>IFERROR(IF(S23="","是","否"),"是")</f>
        <v/>
      </c>
      <c r="U23" s="225" t="n"/>
    </row>
    <row r="24" ht="30" customHeight="1">
      <c r="A24" s="225" t="n"/>
      <c r="B24" s="225" t="n"/>
      <c r="C24" s="225" t="n"/>
      <c r="D24" s="226" t="n"/>
      <c r="E24" s="225" t="n"/>
      <c r="F24" s="226" t="n"/>
      <c r="G24" s="225" t="n"/>
      <c r="H24" s="225" t="n"/>
      <c r="I24" s="225" t="n"/>
      <c r="J24" s="225" t="n"/>
      <c r="K24" s="225" t="n"/>
      <c r="L24" s="225" t="n"/>
      <c r="M24" s="225" t="n"/>
      <c r="N24" s="15">
        <f>IFERROR(IF(OR(J24="已破獲未移送",J24="已移送"),"是","否"),"")</f>
        <v/>
      </c>
      <c r="O24" s="15">
        <f>IFERROR(IF(D24="","",YEAR(D24)-1911),"")</f>
        <v/>
      </c>
      <c r="P24" s="15">
        <f>IFERROR(INDEX(案類分類清單,MATCH(B24,案類名稱清單,0)),"")</f>
        <v/>
      </c>
      <c r="Q24" s="15">
        <f>IFERROR(INDEX(納入全般清單,MATCH(B24,案類名稱清單,0)),"否")</f>
        <v/>
      </c>
      <c r="R24" s="15">
        <f>IFERROR(O24*10000+IFERROR(MATCH(J24,{"尚未偵破","已破獲未移送","已移送","簽結"},0),0)*100+ROW(),0)</f>
        <v/>
      </c>
      <c r="S24" s="225" t="n"/>
      <c r="T24" s="15">
        <f>IFERROR(IF(S24="","是","否"),"是")</f>
        <v/>
      </c>
      <c r="U24" s="225" t="n"/>
    </row>
    <row r="25" ht="30" customHeight="1">
      <c r="A25" s="225" t="n"/>
      <c r="B25" s="225" t="n"/>
      <c r="C25" s="225" t="n"/>
      <c r="D25" s="226" t="n"/>
      <c r="E25" s="225" t="n"/>
      <c r="F25" s="226" t="n"/>
      <c r="G25" s="225" t="n"/>
      <c r="H25" s="225" t="n"/>
      <c r="I25" s="225" t="n"/>
      <c r="J25" s="225" t="n"/>
      <c r="K25" s="225" t="n"/>
      <c r="L25" s="225" t="n"/>
      <c r="M25" s="225" t="n"/>
      <c r="N25" s="15">
        <f>IFERROR(IF(OR(J25="已破獲未移送",J25="已移送"),"是","否"),"")</f>
        <v/>
      </c>
      <c r="O25" s="15">
        <f>IFERROR(IF(D25="","",YEAR(D25)-1911),"")</f>
        <v/>
      </c>
      <c r="P25" s="15">
        <f>IFERROR(INDEX(案類分類清單,MATCH(B25,案類名稱清單,0)),"")</f>
        <v/>
      </c>
      <c r="Q25" s="15">
        <f>IFERROR(INDEX(納入全般清單,MATCH(B25,案類名稱清單,0)),"否")</f>
        <v/>
      </c>
      <c r="R25" s="15">
        <f>IFERROR(O25*10000+IFERROR(MATCH(J25,{"尚未偵破","已破獲未移送","已移送","簽結"},0),0)*100+ROW(),0)</f>
        <v/>
      </c>
      <c r="S25" s="225" t="n"/>
      <c r="T25" s="15">
        <f>IFERROR(IF(S25="","是","否"),"是")</f>
        <v/>
      </c>
      <c r="U25" s="225" t="n"/>
    </row>
    <row r="26" ht="30" customHeight="1">
      <c r="A26" s="225" t="n"/>
      <c r="B26" s="225" t="n"/>
      <c r="C26" s="225" t="n"/>
      <c r="D26" s="226" t="n"/>
      <c r="E26" s="225" t="n"/>
      <c r="F26" s="226" t="n"/>
      <c r="G26" s="225" t="n"/>
      <c r="H26" s="225" t="n"/>
      <c r="I26" s="225" t="n"/>
      <c r="J26" s="225" t="n"/>
      <c r="K26" s="225" t="n"/>
      <c r="L26" s="225" t="n"/>
      <c r="M26" s="225" t="n"/>
      <c r="N26" s="15">
        <f>IFERROR(IF(OR(J26="已破獲未移送",J26="已移送"),"是","否"),"")</f>
        <v/>
      </c>
      <c r="O26" s="15">
        <f>IFERROR(IF(D26="","",YEAR(D26)-1911),"")</f>
        <v/>
      </c>
      <c r="P26" s="15">
        <f>IFERROR(INDEX(案類分類清單,MATCH(B26,案類名稱清單,0)),"")</f>
        <v/>
      </c>
      <c r="Q26" s="15">
        <f>IFERROR(INDEX(納入全般清單,MATCH(B26,案類名稱清單,0)),"否")</f>
        <v/>
      </c>
      <c r="R26" s="15">
        <f>IFERROR(O26*10000+IFERROR(MATCH(J26,{"尚未偵破","已破獲未移送","已移送","簽結"},0),0)*100+ROW(),0)</f>
        <v/>
      </c>
      <c r="S26" s="225" t="n"/>
      <c r="T26" s="15">
        <f>IFERROR(IF(S26="","是","否"),"是")</f>
        <v/>
      </c>
      <c r="U26" s="225" t="n"/>
    </row>
    <row r="27" ht="30" customHeight="1">
      <c r="A27" s="225" t="n"/>
      <c r="B27" s="225" t="n"/>
      <c r="C27" s="225" t="n"/>
      <c r="D27" s="226" t="n"/>
      <c r="E27" s="225" t="n"/>
      <c r="F27" s="226" t="n"/>
      <c r="G27" s="225" t="n"/>
      <c r="H27" s="225" t="n"/>
      <c r="I27" s="225" t="n"/>
      <c r="J27" s="225" t="n"/>
      <c r="K27" s="225" t="n"/>
      <c r="L27" s="225" t="n"/>
      <c r="M27" s="225" t="n"/>
      <c r="N27" s="15">
        <f>IFERROR(IF(OR(J27="已破獲未移送",J27="已移送"),"是","否"),"")</f>
        <v/>
      </c>
      <c r="O27" s="15">
        <f>IFERROR(IF(D27="","",YEAR(D27)-1911),"")</f>
        <v/>
      </c>
      <c r="P27" s="15">
        <f>IFERROR(INDEX(案類分類清單,MATCH(B27,案類名稱清單,0)),"")</f>
        <v/>
      </c>
      <c r="Q27" s="15">
        <f>IFERROR(INDEX(納入全般清單,MATCH(B27,案類名稱清單,0)),"否")</f>
        <v/>
      </c>
      <c r="R27" s="15">
        <f>IFERROR(O27*10000+IFERROR(MATCH(J27,{"尚未偵破","已破獲未移送","已移送","簽結"},0),0)*100+ROW(),0)</f>
        <v/>
      </c>
      <c r="S27" s="225" t="n"/>
      <c r="T27" s="15">
        <f>IFERROR(IF(S27="","是","否"),"是")</f>
        <v/>
      </c>
      <c r="U27" s="225" t="n"/>
    </row>
    <row r="28" ht="30" customHeight="1">
      <c r="A28" s="225" t="n"/>
      <c r="B28" s="225" t="n"/>
      <c r="C28" s="225" t="n"/>
      <c r="D28" s="226" t="n"/>
      <c r="E28" s="225" t="n"/>
      <c r="F28" s="226" t="n"/>
      <c r="G28" s="225" t="n"/>
      <c r="H28" s="225" t="n"/>
      <c r="I28" s="225" t="n"/>
      <c r="J28" s="225" t="n"/>
      <c r="K28" s="225" t="n"/>
      <c r="L28" s="225" t="n"/>
      <c r="M28" s="225" t="n"/>
      <c r="N28" s="15">
        <f>IFERROR(IF(OR(J28="已破獲未移送",J28="已移送"),"是","否"),"")</f>
        <v/>
      </c>
      <c r="O28" s="15">
        <f>IFERROR(IF(D28="","",YEAR(D28)-1911),"")</f>
        <v/>
      </c>
      <c r="P28" s="15">
        <f>IFERROR(INDEX(案類分類清單,MATCH(B28,案類名稱清單,0)),"")</f>
        <v/>
      </c>
      <c r="Q28" s="15">
        <f>IFERROR(INDEX(納入全般清單,MATCH(B28,案類名稱清單,0)),"否")</f>
        <v/>
      </c>
      <c r="R28" s="15">
        <f>IFERROR(O28*10000+IFERROR(MATCH(J28,{"尚未偵破","已破獲未移送","已移送","簽結"},0),0)*100+ROW(),0)</f>
        <v/>
      </c>
      <c r="S28" s="225" t="n"/>
      <c r="T28" s="15">
        <f>IFERROR(IF(S28="","是","否"),"是")</f>
        <v/>
      </c>
      <c r="U28" s="225" t="n"/>
    </row>
    <row r="29" ht="30" customHeight="1">
      <c r="A29" s="225" t="n"/>
      <c r="B29" s="225" t="n"/>
      <c r="C29" s="225" t="n"/>
      <c r="D29" s="226" t="n"/>
      <c r="E29" s="225" t="n"/>
      <c r="F29" s="226" t="n"/>
      <c r="G29" s="225" t="n"/>
      <c r="H29" s="225" t="n"/>
      <c r="I29" s="225" t="n"/>
      <c r="J29" s="225" t="n"/>
      <c r="K29" s="225" t="n"/>
      <c r="L29" s="225" t="n"/>
      <c r="M29" s="225" t="n"/>
      <c r="N29" s="15">
        <f>IFERROR(IF(OR(J29="已破獲未移送",J29="已移送"),"是","否"),"")</f>
        <v/>
      </c>
      <c r="O29" s="15">
        <f>IFERROR(IF(D29="","",YEAR(D29)-1911),"")</f>
        <v/>
      </c>
      <c r="P29" s="15">
        <f>IFERROR(INDEX(案類分類清單,MATCH(B29,案類名稱清單,0)),"")</f>
        <v/>
      </c>
      <c r="Q29" s="15">
        <f>IFERROR(INDEX(納入全般清單,MATCH(B29,案類名稱清單,0)),"否")</f>
        <v/>
      </c>
      <c r="R29" s="15">
        <f>IFERROR(O29*10000+IFERROR(MATCH(J29,{"尚未偵破","已破獲未移送","已移送","簽結"},0),0)*100+ROW(),0)</f>
        <v/>
      </c>
      <c r="S29" s="225" t="n"/>
      <c r="T29" s="15">
        <f>IFERROR(IF(S29="","是","否"),"是")</f>
        <v/>
      </c>
      <c r="U29" s="225" t="n"/>
    </row>
    <row r="30" ht="30" customHeight="1">
      <c r="A30" s="225" t="n"/>
      <c r="B30" s="225" t="n"/>
      <c r="C30" s="225" t="n"/>
      <c r="D30" s="226" t="n"/>
      <c r="E30" s="225" t="n"/>
      <c r="F30" s="226" t="n"/>
      <c r="G30" s="225" t="n"/>
      <c r="H30" s="225" t="n"/>
      <c r="I30" s="225" t="n"/>
      <c r="J30" s="225" t="n"/>
      <c r="K30" s="225" t="n"/>
      <c r="L30" s="225" t="n"/>
      <c r="M30" s="225" t="n"/>
      <c r="N30" s="15">
        <f>IFERROR(IF(OR(J30="已破獲未移送",J30="已移送"),"是","否"),"")</f>
        <v/>
      </c>
      <c r="O30" s="15">
        <f>IFERROR(IF(D30="","",YEAR(D30)-1911),"")</f>
        <v/>
      </c>
      <c r="P30" s="15">
        <f>IFERROR(INDEX(案類分類清單,MATCH(B30,案類名稱清單,0)),"")</f>
        <v/>
      </c>
      <c r="Q30" s="15">
        <f>IFERROR(INDEX(納入全般清單,MATCH(B30,案類名稱清單,0)),"否")</f>
        <v/>
      </c>
      <c r="R30" s="15">
        <f>IFERROR(O30*10000+IFERROR(MATCH(J30,{"尚未偵破","已破獲未移送","已移送","簽結"},0),0)*100+ROW(),0)</f>
        <v/>
      </c>
      <c r="S30" s="225" t="n"/>
      <c r="T30" s="15">
        <f>IFERROR(IF(S30="","是","否"),"是")</f>
        <v/>
      </c>
      <c r="U30" s="225" t="n"/>
    </row>
    <row r="31" ht="30" customHeight="1">
      <c r="A31" s="225" t="n"/>
      <c r="B31" s="225" t="n"/>
      <c r="C31" s="225" t="n"/>
      <c r="D31" s="226" t="n"/>
      <c r="E31" s="225" t="n"/>
      <c r="F31" s="226" t="n"/>
      <c r="G31" s="225" t="n"/>
      <c r="H31" s="225" t="n"/>
      <c r="I31" s="225" t="n"/>
      <c r="J31" s="225" t="n"/>
      <c r="K31" s="225" t="n"/>
      <c r="L31" s="225" t="n"/>
      <c r="M31" s="225" t="n"/>
      <c r="N31" s="15">
        <f>IFERROR(IF(OR(J31="已破獲未移送",J31="已移送"),"是","否"),"")</f>
        <v/>
      </c>
      <c r="O31" s="15">
        <f>IFERROR(IF(D31="","",YEAR(D31)-1911),"")</f>
        <v/>
      </c>
      <c r="P31" s="15">
        <f>IFERROR(INDEX(案類分類清單,MATCH(B31,案類名稱清單,0)),"")</f>
        <v/>
      </c>
      <c r="Q31" s="15">
        <f>IFERROR(INDEX(納入全般清單,MATCH(B31,案類名稱清單,0)),"否")</f>
        <v/>
      </c>
      <c r="R31" s="15">
        <f>IFERROR(O31*10000+IFERROR(MATCH(J31,{"尚未偵破","已破獲未移送","已移送","簽結"},0),0)*100+ROW(),0)</f>
        <v/>
      </c>
      <c r="S31" s="225" t="n"/>
      <c r="T31" s="15">
        <f>IFERROR(IF(S31="","是","否"),"是")</f>
        <v/>
      </c>
      <c r="U31" s="225" t="n"/>
    </row>
    <row r="32" ht="30" customHeight="1">
      <c r="A32" s="225" t="n"/>
      <c r="B32" s="225" t="n"/>
      <c r="C32" s="225" t="n"/>
      <c r="D32" s="226" t="n"/>
      <c r="E32" s="225" t="n"/>
      <c r="F32" s="226" t="n"/>
      <c r="G32" s="225" t="n"/>
      <c r="H32" s="225" t="n"/>
      <c r="I32" s="225" t="n"/>
      <c r="J32" s="225" t="n"/>
      <c r="K32" s="225" t="n"/>
      <c r="L32" s="225" t="n"/>
      <c r="M32" s="225" t="n"/>
      <c r="N32" s="15">
        <f>IFERROR(IF(OR(J32="已破獲未移送",J32="已移送"),"是","否"),"")</f>
        <v/>
      </c>
      <c r="O32" s="15">
        <f>IFERROR(IF(D32="","",YEAR(D32)-1911),"")</f>
        <v/>
      </c>
      <c r="P32" s="15">
        <f>IFERROR(INDEX(案類分類清單,MATCH(B32,案類名稱清單,0)),"")</f>
        <v/>
      </c>
      <c r="Q32" s="15">
        <f>IFERROR(INDEX(納入全般清單,MATCH(B32,案類名稱清單,0)),"否")</f>
        <v/>
      </c>
      <c r="R32" s="15">
        <f>IFERROR(O32*10000+IFERROR(MATCH(J32,{"尚未偵破","已破獲未移送","已移送","簽結"},0),0)*100+ROW(),0)</f>
        <v/>
      </c>
      <c r="S32" s="225" t="n"/>
      <c r="T32" s="15">
        <f>IFERROR(IF(S32="","是","否"),"是")</f>
        <v/>
      </c>
      <c r="U32" s="225" t="n"/>
    </row>
    <row r="33" ht="30" customHeight="1">
      <c r="A33" s="225" t="n"/>
      <c r="B33" s="225" t="n"/>
      <c r="C33" s="225" t="n"/>
      <c r="D33" s="226" t="n"/>
      <c r="E33" s="225" t="n"/>
      <c r="F33" s="226" t="n"/>
      <c r="G33" s="225" t="n"/>
      <c r="H33" s="225" t="n"/>
      <c r="I33" s="225" t="n"/>
      <c r="J33" s="225" t="n"/>
      <c r="K33" s="225" t="n"/>
      <c r="L33" s="225" t="n"/>
      <c r="M33" s="225" t="n"/>
      <c r="N33" s="15">
        <f>IFERROR(IF(OR(J33="已破獲未移送",J33="已移送"),"是","否"),"")</f>
        <v/>
      </c>
      <c r="O33" s="15">
        <f>IFERROR(IF(D33="","",YEAR(D33)-1911),"")</f>
        <v/>
      </c>
      <c r="P33" s="15">
        <f>IFERROR(INDEX(案類分類清單,MATCH(B33,案類名稱清單,0)),"")</f>
        <v/>
      </c>
      <c r="Q33" s="15">
        <f>IFERROR(INDEX(納入全般清單,MATCH(B33,案類名稱清單,0)),"否")</f>
        <v/>
      </c>
      <c r="R33" s="15">
        <f>IFERROR(O33*10000+IFERROR(MATCH(J33,{"尚未偵破","已破獲未移送","已移送","簽結"},0),0)*100+ROW(),0)</f>
        <v/>
      </c>
      <c r="S33" s="225" t="n"/>
      <c r="T33" s="15">
        <f>IFERROR(IF(S33="","是","否"),"是")</f>
        <v/>
      </c>
      <c r="U33" s="225" t="n"/>
    </row>
    <row r="34" ht="30" customHeight="1">
      <c r="A34" s="225" t="n"/>
      <c r="B34" s="225" t="n"/>
      <c r="C34" s="225" t="n"/>
      <c r="D34" s="226" t="n"/>
      <c r="E34" s="225" t="n"/>
      <c r="F34" s="226" t="n"/>
      <c r="G34" s="225" t="n"/>
      <c r="H34" s="225" t="n"/>
      <c r="I34" s="225" t="n"/>
      <c r="J34" s="225" t="n"/>
      <c r="K34" s="225" t="n"/>
      <c r="L34" s="225" t="n"/>
      <c r="M34" s="225" t="n"/>
      <c r="N34" s="15">
        <f>IFERROR(IF(OR(J34="已破獲未移送",J34="已移送"),"是","否"),"")</f>
        <v/>
      </c>
      <c r="O34" s="15">
        <f>IFERROR(IF(D34="","",YEAR(D34)-1911),"")</f>
        <v/>
      </c>
      <c r="P34" s="15">
        <f>IFERROR(INDEX(案類分類清單,MATCH(B34,案類名稱清單,0)),"")</f>
        <v/>
      </c>
      <c r="Q34" s="15">
        <f>IFERROR(INDEX(納入全般清單,MATCH(B34,案類名稱清單,0)),"否")</f>
        <v/>
      </c>
      <c r="R34" s="15">
        <f>IFERROR(O34*10000+IFERROR(MATCH(J34,{"尚未偵破","已破獲未移送","已移送","簽結"},0),0)*100+ROW(),0)</f>
        <v/>
      </c>
      <c r="S34" s="225" t="n"/>
      <c r="T34" s="15">
        <f>IFERROR(IF(S34="","是","否"),"是")</f>
        <v/>
      </c>
      <c r="U34" s="225" t="n"/>
    </row>
    <row r="35" ht="30" customHeight="1">
      <c r="A35" s="225" t="n"/>
      <c r="B35" s="225" t="n"/>
      <c r="C35" s="225" t="n"/>
      <c r="D35" s="226" t="n"/>
      <c r="E35" s="225" t="n"/>
      <c r="F35" s="226" t="n"/>
      <c r="G35" s="225" t="n"/>
      <c r="H35" s="225" t="n"/>
      <c r="I35" s="225" t="n"/>
      <c r="J35" s="225" t="n"/>
      <c r="K35" s="225" t="n"/>
      <c r="L35" s="225" t="n"/>
      <c r="M35" s="225" t="n"/>
      <c r="N35" s="15">
        <f>IFERROR(IF(OR(J35="已破獲未移送",J35="已移送"),"是","否"),"")</f>
        <v/>
      </c>
      <c r="O35" s="15">
        <f>IFERROR(IF(D35="","",YEAR(D35)-1911),"")</f>
        <v/>
      </c>
      <c r="P35" s="15">
        <f>IFERROR(INDEX(案類分類清單,MATCH(B35,案類名稱清單,0)),"")</f>
        <v/>
      </c>
      <c r="Q35" s="15">
        <f>IFERROR(INDEX(納入全般清單,MATCH(B35,案類名稱清單,0)),"否")</f>
        <v/>
      </c>
      <c r="R35" s="15">
        <f>IFERROR(O35*10000+IFERROR(MATCH(J35,{"尚未偵破","已破獲未移送","已移送","簽結"},0),0)*100+ROW(),0)</f>
        <v/>
      </c>
      <c r="S35" s="225" t="n"/>
      <c r="T35" s="15">
        <f>IFERROR(IF(S35="","是","否"),"是")</f>
        <v/>
      </c>
      <c r="U35" s="225" t="n"/>
    </row>
    <row r="36" ht="30" customHeight="1">
      <c r="A36" s="225" t="n"/>
      <c r="B36" s="225" t="n"/>
      <c r="C36" s="225" t="n"/>
      <c r="D36" s="226" t="n"/>
      <c r="E36" s="225" t="n"/>
      <c r="F36" s="226" t="n"/>
      <c r="G36" s="225" t="n"/>
      <c r="H36" s="225" t="n"/>
      <c r="I36" s="225" t="n"/>
      <c r="J36" s="225" t="n"/>
      <c r="K36" s="225" t="n"/>
      <c r="L36" s="225" t="n"/>
      <c r="M36" s="225" t="n"/>
      <c r="N36" s="15">
        <f>IFERROR(IF(OR(J36="已破獲未移送",J36="已移送"),"是","否"),"")</f>
        <v/>
      </c>
      <c r="O36" s="15">
        <f>IFERROR(IF(D36="","",YEAR(D36)-1911),"")</f>
        <v/>
      </c>
      <c r="P36" s="15">
        <f>IFERROR(INDEX(案類分類清單,MATCH(B36,案類名稱清單,0)),"")</f>
        <v/>
      </c>
      <c r="Q36" s="15">
        <f>IFERROR(INDEX(納入全般清單,MATCH(B36,案類名稱清單,0)),"否")</f>
        <v/>
      </c>
      <c r="R36" s="15">
        <f>IFERROR(O36*10000+IFERROR(MATCH(J36,{"尚未偵破","已破獲未移送","已移送","簽結"},0),0)*100+ROW(),0)</f>
        <v/>
      </c>
      <c r="S36" s="225" t="n"/>
      <c r="T36" s="15">
        <f>IFERROR(IF(S36="","是","否"),"是")</f>
        <v/>
      </c>
      <c r="U36" s="225" t="n"/>
    </row>
    <row r="37" ht="30" customHeight="1">
      <c r="A37" s="225" t="n"/>
      <c r="B37" s="225" t="n"/>
      <c r="C37" s="225" t="n"/>
      <c r="D37" s="226" t="n"/>
      <c r="E37" s="225" t="n"/>
      <c r="F37" s="226" t="n"/>
      <c r="G37" s="225" t="n"/>
      <c r="H37" s="225" t="n"/>
      <c r="I37" s="225" t="n"/>
      <c r="J37" s="225" t="n"/>
      <c r="K37" s="225" t="n"/>
      <c r="L37" s="225" t="n"/>
      <c r="M37" s="225" t="n"/>
      <c r="N37" s="15">
        <f>IFERROR(IF(OR(J37="已破獲未移送",J37="已移送"),"是","否"),"")</f>
        <v/>
      </c>
      <c r="O37" s="15">
        <f>IFERROR(IF(D37="","",YEAR(D37)-1911),"")</f>
        <v/>
      </c>
      <c r="P37" s="15">
        <f>IFERROR(INDEX(案類分類清單,MATCH(B37,案類名稱清單,0)),"")</f>
        <v/>
      </c>
      <c r="Q37" s="15">
        <f>IFERROR(INDEX(納入全般清單,MATCH(B37,案類名稱清單,0)),"否")</f>
        <v/>
      </c>
      <c r="R37" s="15">
        <f>IFERROR(O37*10000+IFERROR(MATCH(J37,{"尚未偵破","已破獲未移送","已移送","簽結"},0),0)*100+ROW(),0)</f>
        <v/>
      </c>
      <c r="S37" s="225" t="n"/>
      <c r="T37" s="15">
        <f>IFERROR(IF(S37="","是","否"),"是")</f>
        <v/>
      </c>
      <c r="U37" s="225" t="n"/>
    </row>
    <row r="38" ht="30" customHeight="1">
      <c r="A38" s="225" t="n"/>
      <c r="B38" s="225" t="n"/>
      <c r="C38" s="225" t="n"/>
      <c r="D38" s="226" t="n"/>
      <c r="E38" s="225" t="n"/>
      <c r="F38" s="226" t="n"/>
      <c r="G38" s="225" t="n"/>
      <c r="H38" s="225" t="n"/>
      <c r="I38" s="225" t="n"/>
      <c r="J38" s="225" t="n"/>
      <c r="K38" s="225" t="n"/>
      <c r="L38" s="225" t="n"/>
      <c r="M38" s="225" t="n"/>
      <c r="N38" s="15">
        <f>IFERROR(IF(OR(J38="已破獲未移送",J38="已移送"),"是","否"),"")</f>
        <v/>
      </c>
      <c r="O38" s="15">
        <f>IFERROR(IF(D38="","",YEAR(D38)-1911),"")</f>
        <v/>
      </c>
      <c r="P38" s="15">
        <f>IFERROR(INDEX(案類分類清單,MATCH(B38,案類名稱清單,0)),"")</f>
        <v/>
      </c>
      <c r="Q38" s="15">
        <f>IFERROR(INDEX(納入全般清單,MATCH(B38,案類名稱清單,0)),"否")</f>
        <v/>
      </c>
      <c r="R38" s="15">
        <f>IFERROR(O38*10000+IFERROR(MATCH(J38,{"尚未偵破","已破獲未移送","已移送","簽結"},0),0)*100+ROW(),0)</f>
        <v/>
      </c>
      <c r="S38" s="225" t="n"/>
      <c r="T38" s="15">
        <f>IFERROR(IF(S38="","是","否"),"是")</f>
        <v/>
      </c>
      <c r="U38" s="225" t="n"/>
    </row>
    <row r="39" ht="30" customHeight="1">
      <c r="A39" s="225" t="n"/>
      <c r="B39" s="225" t="n"/>
      <c r="C39" s="225" t="n"/>
      <c r="D39" s="226" t="n"/>
      <c r="E39" s="225" t="n"/>
      <c r="F39" s="226" t="n"/>
      <c r="G39" s="225" t="n"/>
      <c r="H39" s="225" t="n"/>
      <c r="I39" s="225" t="n"/>
      <c r="J39" s="225" t="n"/>
      <c r="K39" s="225" t="n"/>
      <c r="L39" s="225" t="n"/>
      <c r="M39" s="225" t="n"/>
      <c r="N39" s="15">
        <f>IFERROR(IF(OR(J39="已破獲未移送",J39="已移送"),"是","否"),"")</f>
        <v/>
      </c>
      <c r="O39" s="15">
        <f>IFERROR(IF(D39="","",YEAR(D39)-1911),"")</f>
        <v/>
      </c>
      <c r="P39" s="15">
        <f>IFERROR(INDEX(案類分類清單,MATCH(B39,案類名稱清單,0)),"")</f>
        <v/>
      </c>
      <c r="Q39" s="15">
        <f>IFERROR(INDEX(納入全般清單,MATCH(B39,案類名稱清單,0)),"否")</f>
        <v/>
      </c>
      <c r="R39" s="15">
        <f>IFERROR(O39*10000+IFERROR(MATCH(J39,{"尚未偵破","已破獲未移送","已移送","簽結"},0),0)*100+ROW(),0)</f>
        <v/>
      </c>
      <c r="S39" s="225" t="n"/>
      <c r="T39" s="15">
        <f>IFERROR(IF(S39="","是","否"),"是")</f>
        <v/>
      </c>
      <c r="U39" s="225" t="n"/>
    </row>
    <row r="40" ht="30" customHeight="1">
      <c r="A40" s="225" t="n"/>
      <c r="B40" s="225" t="n"/>
      <c r="C40" s="225" t="n"/>
      <c r="D40" s="226" t="n"/>
      <c r="E40" s="225" t="n"/>
      <c r="F40" s="226" t="n"/>
      <c r="G40" s="225" t="n"/>
      <c r="H40" s="225" t="n"/>
      <c r="I40" s="225" t="n"/>
      <c r="J40" s="225" t="n"/>
      <c r="K40" s="225" t="n"/>
      <c r="L40" s="225" t="n"/>
      <c r="M40" s="225" t="n"/>
      <c r="N40" s="15">
        <f>IFERROR(IF(OR(J40="已破獲未移送",J40="已移送"),"是","否"),"")</f>
        <v/>
      </c>
      <c r="O40" s="15">
        <f>IFERROR(IF(D40="","",YEAR(D40)-1911),"")</f>
        <v/>
      </c>
      <c r="P40" s="15">
        <f>IFERROR(INDEX(案類分類清單,MATCH(B40,案類名稱清單,0)),"")</f>
        <v/>
      </c>
      <c r="Q40" s="15">
        <f>IFERROR(INDEX(納入全般清單,MATCH(B40,案類名稱清單,0)),"否")</f>
        <v/>
      </c>
      <c r="R40" s="15">
        <f>IFERROR(O40*10000+IFERROR(MATCH(J40,{"尚未偵破","已破獲未移送","已移送","簽結"},0),0)*100+ROW(),0)</f>
        <v/>
      </c>
      <c r="S40" s="225" t="n"/>
      <c r="T40" s="15">
        <f>IFERROR(IF(S40="","是","否"),"是")</f>
        <v/>
      </c>
      <c r="U40" s="225" t="n"/>
    </row>
    <row r="41" ht="30" customHeight="1">
      <c r="A41" s="225" t="n"/>
      <c r="B41" s="225" t="n"/>
      <c r="C41" s="225" t="n"/>
      <c r="D41" s="226" t="n"/>
      <c r="E41" s="225" t="n"/>
      <c r="F41" s="226" t="n"/>
      <c r="G41" s="225" t="n"/>
      <c r="H41" s="225" t="n"/>
      <c r="I41" s="225" t="n"/>
      <c r="J41" s="225" t="n"/>
      <c r="K41" s="225" t="n"/>
      <c r="L41" s="225" t="n"/>
      <c r="M41" s="225" t="n"/>
      <c r="N41" s="15">
        <f>IFERROR(IF(OR(J41="已破獲未移送",J41="已移送"),"是","否"),"")</f>
        <v/>
      </c>
      <c r="O41" s="15">
        <f>IFERROR(IF(D41="","",YEAR(D41)-1911),"")</f>
        <v/>
      </c>
      <c r="P41" s="15">
        <f>IFERROR(INDEX(案類分類清單,MATCH(B41,案類名稱清單,0)),"")</f>
        <v/>
      </c>
      <c r="Q41" s="15">
        <f>IFERROR(INDEX(納入全般清單,MATCH(B41,案類名稱清單,0)),"否")</f>
        <v/>
      </c>
      <c r="R41" s="15">
        <f>IFERROR(O41*10000+IFERROR(MATCH(J41,{"尚未偵破","已破獲未移送","已移送","簽結"},0),0)*100+ROW(),0)</f>
        <v/>
      </c>
      <c r="S41" s="225" t="n"/>
      <c r="T41" s="15">
        <f>IFERROR(IF(S41="","是","否"),"是")</f>
        <v/>
      </c>
      <c r="U41" s="225" t="n"/>
    </row>
    <row r="42" ht="30" customHeight="1">
      <c r="A42" s="225" t="n"/>
      <c r="B42" s="225" t="n"/>
      <c r="C42" s="225" t="n"/>
      <c r="D42" s="226" t="n"/>
      <c r="E42" s="225" t="n"/>
      <c r="F42" s="226" t="n"/>
      <c r="G42" s="225" t="n"/>
      <c r="H42" s="225" t="n"/>
      <c r="I42" s="225" t="n"/>
      <c r="J42" s="225" t="n"/>
      <c r="K42" s="225" t="n"/>
      <c r="L42" s="225" t="n"/>
      <c r="M42" s="225" t="n"/>
      <c r="N42" s="15">
        <f>IFERROR(IF(OR(J42="已破獲未移送",J42="已移送"),"是","否"),"")</f>
        <v/>
      </c>
      <c r="O42" s="15">
        <f>IFERROR(IF(D42="","",YEAR(D42)-1911),"")</f>
        <v/>
      </c>
      <c r="P42" s="15">
        <f>IFERROR(INDEX(案類分類清單,MATCH(B42,案類名稱清單,0)),"")</f>
        <v/>
      </c>
      <c r="Q42" s="15">
        <f>IFERROR(INDEX(納入全般清單,MATCH(B42,案類名稱清單,0)),"否")</f>
        <v/>
      </c>
      <c r="R42" s="15">
        <f>IFERROR(O42*10000+IFERROR(MATCH(J42,{"尚未偵破","已破獲未移送","已移送","簽結"},0),0)*100+ROW(),0)</f>
        <v/>
      </c>
      <c r="S42" s="225" t="n"/>
      <c r="T42" s="15">
        <f>IFERROR(IF(S42="","是","否"),"是")</f>
        <v/>
      </c>
      <c r="U42" s="225" t="n"/>
    </row>
    <row r="43" ht="30" customHeight="1">
      <c r="A43" s="225" t="n"/>
      <c r="B43" s="225" t="n"/>
      <c r="C43" s="225" t="n"/>
      <c r="D43" s="226" t="n"/>
      <c r="E43" s="225" t="n"/>
      <c r="F43" s="226" t="n"/>
      <c r="G43" s="225" t="n"/>
      <c r="H43" s="225" t="n"/>
      <c r="I43" s="225" t="n"/>
      <c r="J43" s="225" t="n"/>
      <c r="K43" s="225" t="n"/>
      <c r="L43" s="225" t="n"/>
      <c r="M43" s="225" t="n"/>
      <c r="N43" s="15">
        <f>IFERROR(IF(OR(J43="已破獲未移送",J43="已移送"),"是","否"),"")</f>
        <v/>
      </c>
      <c r="O43" s="15">
        <f>IFERROR(IF(D43="","",YEAR(D43)-1911),"")</f>
        <v/>
      </c>
      <c r="P43" s="15">
        <f>IFERROR(INDEX(案類分類清單,MATCH(B43,案類名稱清單,0)),"")</f>
        <v/>
      </c>
      <c r="Q43" s="15">
        <f>IFERROR(INDEX(納入全般清單,MATCH(B43,案類名稱清單,0)),"否")</f>
        <v/>
      </c>
      <c r="R43" s="15">
        <f>IFERROR(O43*10000+IFERROR(MATCH(J43,{"尚未偵破","已破獲未移送","已移送","簽結"},0),0)*100+ROW(),0)</f>
        <v/>
      </c>
      <c r="S43" s="225" t="n"/>
      <c r="T43" s="15">
        <f>IFERROR(IF(S43="","是","否"),"是")</f>
        <v/>
      </c>
      <c r="U43" s="225" t="n"/>
    </row>
    <row r="44" ht="30" customHeight="1">
      <c r="A44" s="225" t="n"/>
      <c r="B44" s="225" t="n"/>
      <c r="C44" s="225" t="n"/>
      <c r="D44" s="226" t="n"/>
      <c r="E44" s="225" t="n"/>
      <c r="F44" s="226" t="n"/>
      <c r="G44" s="225" t="n"/>
      <c r="H44" s="225" t="n"/>
      <c r="I44" s="225" t="n"/>
      <c r="J44" s="225" t="n"/>
      <c r="K44" s="225" t="n"/>
      <c r="L44" s="225" t="n"/>
      <c r="M44" s="225" t="n"/>
      <c r="N44" s="15">
        <f>IFERROR(IF(OR(J44="已破獲未移送",J44="已移送"),"是","否"),"")</f>
        <v/>
      </c>
      <c r="O44" s="15">
        <f>IFERROR(IF(D44="","",YEAR(D44)-1911),"")</f>
        <v/>
      </c>
      <c r="P44" s="15">
        <f>IFERROR(INDEX(案類分類清單,MATCH(B44,案類名稱清單,0)),"")</f>
        <v/>
      </c>
      <c r="Q44" s="15">
        <f>IFERROR(INDEX(納入全般清單,MATCH(B44,案類名稱清單,0)),"否")</f>
        <v/>
      </c>
      <c r="R44" s="15">
        <f>IFERROR(O44*10000+IFERROR(MATCH(J44,{"尚未偵破","已破獲未移送","已移送","簽結"},0),0)*100+ROW(),0)</f>
        <v/>
      </c>
      <c r="S44" s="225" t="n"/>
      <c r="T44" s="15">
        <f>IFERROR(IF(S44="","是","否"),"是")</f>
        <v/>
      </c>
      <c r="U44" s="225" t="n"/>
    </row>
    <row r="45" ht="30" customHeight="1">
      <c r="A45" s="225" t="n"/>
      <c r="B45" s="225" t="n"/>
      <c r="C45" s="225" t="n"/>
      <c r="D45" s="226" t="n"/>
      <c r="E45" s="225" t="n"/>
      <c r="F45" s="226" t="n"/>
      <c r="G45" s="225" t="n"/>
      <c r="H45" s="225" t="n"/>
      <c r="I45" s="225" t="n"/>
      <c r="J45" s="225" t="n"/>
      <c r="K45" s="225" t="n"/>
      <c r="L45" s="225" t="n"/>
      <c r="M45" s="225" t="n"/>
      <c r="N45" s="15">
        <f>IFERROR(IF(OR(J45="已破獲未移送",J45="已移送"),"是","否"),"")</f>
        <v/>
      </c>
      <c r="O45" s="15">
        <f>IFERROR(IF(D45="","",YEAR(D45)-1911),"")</f>
        <v/>
      </c>
      <c r="P45" s="15">
        <f>IFERROR(INDEX(案類分類清單,MATCH(B45,案類名稱清單,0)),"")</f>
        <v/>
      </c>
      <c r="Q45" s="15">
        <f>IFERROR(INDEX(納入全般清單,MATCH(B45,案類名稱清單,0)),"否")</f>
        <v/>
      </c>
      <c r="R45" s="15">
        <f>IFERROR(O45*10000+IFERROR(MATCH(J45,{"尚未偵破","已破獲未移送","已移送","簽結"},0),0)*100+ROW(),0)</f>
        <v/>
      </c>
      <c r="S45" s="225" t="n"/>
      <c r="T45" s="15">
        <f>IFERROR(IF(S45="","是","否"),"是")</f>
        <v/>
      </c>
      <c r="U45" s="225" t="n"/>
    </row>
    <row r="46" ht="30" customHeight="1">
      <c r="A46" s="225" t="n"/>
      <c r="B46" s="225" t="n"/>
      <c r="C46" s="225" t="n"/>
      <c r="D46" s="226" t="n"/>
      <c r="E46" s="225" t="n"/>
      <c r="F46" s="226" t="n"/>
      <c r="G46" s="225" t="n"/>
      <c r="H46" s="225" t="n"/>
      <c r="I46" s="225" t="n"/>
      <c r="J46" s="225" t="n"/>
      <c r="K46" s="225" t="n"/>
      <c r="L46" s="225" t="n"/>
      <c r="M46" s="225" t="n"/>
      <c r="N46" s="15">
        <f>IFERROR(IF(OR(J46="已破獲未移送",J46="已移送"),"是","否"),"")</f>
        <v/>
      </c>
      <c r="O46" s="15">
        <f>IFERROR(IF(D46="","",YEAR(D46)-1911),"")</f>
        <v/>
      </c>
      <c r="P46" s="15">
        <f>IFERROR(INDEX(案類分類清單,MATCH(B46,案類名稱清單,0)),"")</f>
        <v/>
      </c>
      <c r="Q46" s="15">
        <f>IFERROR(INDEX(納入全般清單,MATCH(B46,案類名稱清單,0)),"否")</f>
        <v/>
      </c>
      <c r="R46" s="15">
        <f>IFERROR(O46*10000+IFERROR(MATCH(J46,{"尚未偵破","已破獲未移送","已移送","簽結"},0),0)*100+ROW(),0)</f>
        <v/>
      </c>
      <c r="S46" s="225" t="n"/>
      <c r="T46" s="15">
        <f>IFERROR(IF(S46="","是","否"),"是")</f>
        <v/>
      </c>
      <c r="U46" s="225" t="n"/>
    </row>
    <row r="47" ht="30" customHeight="1">
      <c r="A47" s="225" t="n"/>
      <c r="B47" s="225" t="n"/>
      <c r="C47" s="225" t="n"/>
      <c r="D47" s="226" t="n"/>
      <c r="E47" s="225" t="n"/>
      <c r="F47" s="226" t="n"/>
      <c r="G47" s="225" t="n"/>
      <c r="H47" s="225" t="n"/>
      <c r="I47" s="225" t="n"/>
      <c r="J47" s="225" t="n"/>
      <c r="K47" s="225" t="n"/>
      <c r="L47" s="225" t="n"/>
      <c r="M47" s="225" t="n"/>
      <c r="N47" s="15">
        <f>IFERROR(IF(OR(J47="已破獲未移送",J47="已移送"),"是","否"),"")</f>
        <v/>
      </c>
      <c r="O47" s="15">
        <f>IFERROR(IF(D47="","",YEAR(D47)-1911),"")</f>
        <v/>
      </c>
      <c r="P47" s="15">
        <f>IFERROR(INDEX(案類分類清單,MATCH(B47,案類名稱清單,0)),"")</f>
        <v/>
      </c>
      <c r="Q47" s="15">
        <f>IFERROR(INDEX(納入全般清單,MATCH(B47,案類名稱清單,0)),"否")</f>
        <v/>
      </c>
      <c r="R47" s="15">
        <f>IFERROR(O47*10000+IFERROR(MATCH(J47,{"尚未偵破","已破獲未移送","已移送","簽結"},0),0)*100+ROW(),0)</f>
        <v/>
      </c>
      <c r="S47" s="225" t="n"/>
      <c r="T47" s="15">
        <f>IFERROR(IF(S47="","是","否"),"是")</f>
        <v/>
      </c>
      <c r="U47" s="225" t="n"/>
    </row>
    <row r="48" ht="30" customHeight="1">
      <c r="A48" s="225" t="n"/>
      <c r="B48" s="225" t="n"/>
      <c r="C48" s="225" t="n"/>
      <c r="D48" s="226" t="n"/>
      <c r="E48" s="225" t="n"/>
      <c r="F48" s="226" t="n"/>
      <c r="G48" s="225" t="n"/>
      <c r="H48" s="225" t="n"/>
      <c r="I48" s="225" t="n"/>
      <c r="J48" s="225" t="n"/>
      <c r="K48" s="225" t="n"/>
      <c r="L48" s="225" t="n"/>
      <c r="M48" s="225" t="n"/>
      <c r="N48" s="15">
        <f>IFERROR(IF(OR(J48="已破獲未移送",J48="已移送"),"是","否"),"")</f>
        <v/>
      </c>
      <c r="O48" s="15">
        <f>IFERROR(IF(D48="","",YEAR(D48)-1911),"")</f>
        <v/>
      </c>
      <c r="P48" s="15">
        <f>IFERROR(INDEX(案類分類清單,MATCH(B48,案類名稱清單,0)),"")</f>
        <v/>
      </c>
      <c r="Q48" s="15">
        <f>IFERROR(INDEX(納入全般清單,MATCH(B48,案類名稱清單,0)),"否")</f>
        <v/>
      </c>
      <c r="R48" s="15">
        <f>IFERROR(O48*10000+IFERROR(MATCH(J48,{"尚未偵破","已破獲未移送","已移送","簽結"},0),0)*100+ROW(),0)</f>
        <v/>
      </c>
      <c r="S48" s="225" t="n"/>
      <c r="T48" s="15">
        <f>IFERROR(IF(S48="","是","否"),"是")</f>
        <v/>
      </c>
      <c r="U48" s="225" t="n"/>
    </row>
    <row r="49" ht="30" customHeight="1">
      <c r="A49" s="225" t="n"/>
      <c r="B49" s="225" t="n"/>
      <c r="C49" s="225" t="n"/>
      <c r="D49" s="226" t="n"/>
      <c r="E49" s="225" t="n"/>
      <c r="F49" s="226" t="n"/>
      <c r="G49" s="225" t="n"/>
      <c r="H49" s="225" t="n"/>
      <c r="I49" s="225" t="n"/>
      <c r="J49" s="225" t="n"/>
      <c r="K49" s="225" t="n"/>
      <c r="L49" s="225" t="n"/>
      <c r="M49" s="225" t="n"/>
      <c r="N49" s="15">
        <f>IFERROR(IF(OR(J49="已破獲未移送",J49="已移送"),"是","否"),"")</f>
        <v/>
      </c>
      <c r="O49" s="15">
        <f>IFERROR(IF(D49="","",YEAR(D49)-1911),"")</f>
        <v/>
      </c>
      <c r="P49" s="15">
        <f>IFERROR(INDEX(案類分類清單,MATCH(B49,案類名稱清單,0)),"")</f>
        <v/>
      </c>
      <c r="Q49" s="15">
        <f>IFERROR(INDEX(納入全般清單,MATCH(B49,案類名稱清單,0)),"否")</f>
        <v/>
      </c>
      <c r="R49" s="15">
        <f>IFERROR(O49*10000+IFERROR(MATCH(J49,{"尚未偵破","已破獲未移送","已移送","簽結"},0),0)*100+ROW(),0)</f>
        <v/>
      </c>
      <c r="S49" s="225" t="n"/>
      <c r="T49" s="15">
        <f>IFERROR(IF(S49="","是","否"),"是")</f>
        <v/>
      </c>
      <c r="U49" s="225" t="n"/>
    </row>
    <row r="50" ht="30" customHeight="1">
      <c r="A50" s="225" t="n"/>
      <c r="B50" s="225" t="n"/>
      <c r="C50" s="225" t="n"/>
      <c r="D50" s="226" t="n"/>
      <c r="E50" s="225" t="n"/>
      <c r="F50" s="226" t="n"/>
      <c r="G50" s="225" t="n"/>
      <c r="H50" s="225" t="n"/>
      <c r="I50" s="225" t="n"/>
      <c r="J50" s="225" t="n"/>
      <c r="K50" s="225" t="n"/>
      <c r="L50" s="225" t="n"/>
      <c r="M50" s="225" t="n"/>
      <c r="N50" s="15">
        <f>IFERROR(IF(OR(J50="已破獲未移送",J50="已移送"),"是","否"),"")</f>
        <v/>
      </c>
      <c r="O50" s="15">
        <f>IFERROR(IF(D50="","",YEAR(D50)-1911),"")</f>
        <v/>
      </c>
      <c r="P50" s="15">
        <f>IFERROR(INDEX(案類分類清單,MATCH(B50,案類名稱清單,0)),"")</f>
        <v/>
      </c>
      <c r="Q50" s="15">
        <f>IFERROR(INDEX(納入全般清單,MATCH(B50,案類名稱清單,0)),"否")</f>
        <v/>
      </c>
      <c r="R50" s="15">
        <f>IFERROR(O50*10000+IFERROR(MATCH(J50,{"尚未偵破","已破獲未移送","已移送","簽結"},0),0)*100+ROW(),0)</f>
        <v/>
      </c>
      <c r="S50" s="225" t="n"/>
      <c r="T50" s="15">
        <f>IFERROR(IF(S50="","是","否"),"是")</f>
        <v/>
      </c>
      <c r="U50" s="225" t="n"/>
    </row>
    <row r="51" ht="30" customHeight="1">
      <c r="A51" s="225" t="n"/>
      <c r="B51" s="225" t="n"/>
      <c r="C51" s="225" t="n"/>
      <c r="D51" s="226" t="n"/>
      <c r="E51" s="225" t="n"/>
      <c r="F51" s="226" t="n"/>
      <c r="G51" s="225" t="n"/>
      <c r="H51" s="225" t="n"/>
      <c r="I51" s="225" t="n"/>
      <c r="J51" s="225" t="n"/>
      <c r="K51" s="225" t="n"/>
      <c r="L51" s="225" t="n"/>
      <c r="M51" s="225" t="n"/>
      <c r="N51" s="15">
        <f>IFERROR(IF(OR(J51="已破獲未移送",J51="已移送"),"是","否"),"")</f>
        <v/>
      </c>
      <c r="O51" s="15">
        <f>IFERROR(IF(D51="","",YEAR(D51)-1911),"")</f>
        <v/>
      </c>
      <c r="P51" s="15">
        <f>IFERROR(INDEX(案類分類清單,MATCH(B51,案類名稱清單,0)),"")</f>
        <v/>
      </c>
      <c r="Q51" s="15">
        <f>IFERROR(INDEX(納入全般清單,MATCH(B51,案類名稱清單,0)),"否")</f>
        <v/>
      </c>
      <c r="R51" s="15">
        <f>IFERROR(O51*10000+IFERROR(MATCH(J51,{"尚未偵破","已破獲未移送","已移送","簽結"},0),0)*100+ROW(),0)</f>
        <v/>
      </c>
      <c r="S51" s="225" t="n"/>
      <c r="T51" s="15">
        <f>IFERROR(IF(S51="","是","否"),"是")</f>
        <v/>
      </c>
      <c r="U51" s="225" t="n"/>
    </row>
    <row r="52" ht="30" customHeight="1">
      <c r="A52" s="225" t="n"/>
      <c r="B52" s="225" t="n"/>
      <c r="C52" s="225" t="n"/>
      <c r="D52" s="226" t="n"/>
      <c r="E52" s="225" t="n"/>
      <c r="F52" s="226" t="n"/>
      <c r="G52" s="225" t="n"/>
      <c r="H52" s="225" t="n"/>
      <c r="I52" s="225" t="n"/>
      <c r="J52" s="225" t="n"/>
      <c r="K52" s="225" t="n"/>
      <c r="L52" s="225" t="n"/>
      <c r="M52" s="225" t="n"/>
      <c r="N52" s="15">
        <f>IFERROR(IF(OR(J52="已破獲未移送",J52="已移送"),"是","否"),"")</f>
        <v/>
      </c>
      <c r="O52" s="15">
        <f>IFERROR(IF(D52="","",YEAR(D52)-1911),"")</f>
        <v/>
      </c>
      <c r="P52" s="15">
        <f>IFERROR(INDEX(案類分類清單,MATCH(B52,案類名稱清單,0)),"")</f>
        <v/>
      </c>
      <c r="Q52" s="15">
        <f>IFERROR(INDEX(納入全般清單,MATCH(B52,案類名稱清單,0)),"否")</f>
        <v/>
      </c>
      <c r="R52" s="15">
        <f>IFERROR(O52*10000+IFERROR(MATCH(J52,{"尚未偵破","已破獲未移送","已移送","簽結"},0),0)*100+ROW(),0)</f>
        <v/>
      </c>
      <c r="S52" s="225" t="n"/>
      <c r="T52" s="15">
        <f>IFERROR(IF(S52="","是","否"),"是")</f>
        <v/>
      </c>
      <c r="U52" s="225" t="n"/>
    </row>
    <row r="53" ht="30" customHeight="1">
      <c r="A53" s="225" t="n"/>
      <c r="B53" s="225" t="n"/>
      <c r="C53" s="225" t="n"/>
      <c r="D53" s="226" t="n"/>
      <c r="E53" s="225" t="n"/>
      <c r="F53" s="226" t="n"/>
      <c r="G53" s="225" t="n"/>
      <c r="H53" s="225" t="n"/>
      <c r="I53" s="225" t="n"/>
      <c r="J53" s="225" t="n"/>
      <c r="K53" s="225" t="n"/>
      <c r="L53" s="225" t="n"/>
      <c r="M53" s="225" t="n"/>
      <c r="N53" s="15">
        <f>IFERROR(IF(OR(J53="已破獲未移送",J53="已移送"),"是","否"),"")</f>
        <v/>
      </c>
      <c r="O53" s="15">
        <f>IFERROR(IF(D53="","",YEAR(D53)-1911),"")</f>
        <v/>
      </c>
      <c r="P53" s="15">
        <f>IFERROR(INDEX(案類分類清單,MATCH(B53,案類名稱清單,0)),"")</f>
        <v/>
      </c>
      <c r="Q53" s="15">
        <f>IFERROR(INDEX(納入全般清單,MATCH(B53,案類名稱清單,0)),"否")</f>
        <v/>
      </c>
      <c r="R53" s="15">
        <f>IFERROR(O53*10000+IFERROR(MATCH(J53,{"尚未偵破","已破獲未移送","已移送","簽結"},0),0)*100+ROW(),0)</f>
        <v/>
      </c>
      <c r="S53" s="225" t="n"/>
      <c r="T53" s="15">
        <f>IFERROR(IF(S53="","是","否"),"是")</f>
        <v/>
      </c>
      <c r="U53" s="225" t="n"/>
    </row>
    <row r="54" ht="30" customHeight="1">
      <c r="A54" s="225" t="n"/>
      <c r="B54" s="225" t="n"/>
      <c r="C54" s="225" t="n"/>
      <c r="D54" s="226" t="n"/>
      <c r="E54" s="225" t="n"/>
      <c r="F54" s="226" t="n"/>
      <c r="G54" s="225" t="n"/>
      <c r="H54" s="225" t="n"/>
      <c r="I54" s="225" t="n"/>
      <c r="J54" s="225" t="n"/>
      <c r="K54" s="225" t="n"/>
      <c r="L54" s="225" t="n"/>
      <c r="M54" s="225" t="n"/>
      <c r="N54" s="15">
        <f>IFERROR(IF(OR(J54="已破獲未移送",J54="已移送"),"是","否"),"")</f>
        <v/>
      </c>
      <c r="O54" s="15">
        <f>IFERROR(IF(D54="","",YEAR(D54)-1911),"")</f>
        <v/>
      </c>
      <c r="P54" s="15">
        <f>IFERROR(INDEX(案類分類清單,MATCH(B54,案類名稱清單,0)),"")</f>
        <v/>
      </c>
      <c r="Q54" s="15">
        <f>IFERROR(INDEX(納入全般清單,MATCH(B54,案類名稱清單,0)),"否")</f>
        <v/>
      </c>
      <c r="R54" s="15">
        <f>IFERROR(O54*10000+IFERROR(MATCH(J54,{"尚未偵破","已破獲未移送","已移送","簽結"},0),0)*100+ROW(),0)</f>
        <v/>
      </c>
      <c r="S54" s="225" t="n"/>
      <c r="T54" s="15">
        <f>IFERROR(IF(S54="","是","否"),"是")</f>
        <v/>
      </c>
      <c r="U54" s="225" t="n"/>
    </row>
    <row r="55" ht="30" customHeight="1">
      <c r="A55" s="225" t="n"/>
      <c r="B55" s="225" t="n"/>
      <c r="C55" s="225" t="n"/>
      <c r="D55" s="226" t="n"/>
      <c r="E55" s="225" t="n"/>
      <c r="F55" s="226" t="n"/>
      <c r="G55" s="225" t="n"/>
      <c r="H55" s="225" t="n"/>
      <c r="I55" s="225" t="n"/>
      <c r="J55" s="225" t="n"/>
      <c r="K55" s="225" t="n"/>
      <c r="L55" s="225" t="n"/>
      <c r="M55" s="225" t="n"/>
      <c r="N55" s="15">
        <f>IFERROR(IF(OR(J55="已破獲未移送",J55="已移送"),"是","否"),"")</f>
        <v/>
      </c>
      <c r="O55" s="15">
        <f>IFERROR(IF(D55="","",YEAR(D55)-1911),"")</f>
        <v/>
      </c>
      <c r="P55" s="15">
        <f>IFERROR(INDEX(案類分類清單,MATCH(B55,案類名稱清單,0)),"")</f>
        <v/>
      </c>
      <c r="Q55" s="15">
        <f>IFERROR(INDEX(納入全般清單,MATCH(B55,案類名稱清單,0)),"否")</f>
        <v/>
      </c>
      <c r="R55" s="15">
        <f>IFERROR(O55*10000+IFERROR(MATCH(J55,{"尚未偵破","已破獲未移送","已移送","簽結"},0),0)*100+ROW(),0)</f>
        <v/>
      </c>
      <c r="S55" s="225" t="n"/>
      <c r="T55" s="15">
        <f>IFERROR(IF(S55="","是","否"),"是")</f>
        <v/>
      </c>
      <c r="U55" s="225" t="n"/>
    </row>
    <row r="56" ht="30" customHeight="1">
      <c r="A56" s="225" t="n"/>
      <c r="B56" s="225" t="n"/>
      <c r="C56" s="225" t="n"/>
      <c r="D56" s="226" t="n"/>
      <c r="E56" s="225" t="n"/>
      <c r="F56" s="226" t="n"/>
      <c r="G56" s="225" t="n"/>
      <c r="H56" s="225" t="n"/>
      <c r="I56" s="225" t="n"/>
      <c r="J56" s="225" t="n"/>
      <c r="K56" s="225" t="n"/>
      <c r="L56" s="225" t="n"/>
      <c r="M56" s="225" t="n"/>
      <c r="N56" s="15">
        <f>IFERROR(IF(OR(J56="已破獲未移送",J56="已移送"),"是","否"),"")</f>
        <v/>
      </c>
      <c r="O56" s="15">
        <f>IFERROR(IF(D56="","",YEAR(D56)-1911),"")</f>
        <v/>
      </c>
      <c r="P56" s="15">
        <f>IFERROR(INDEX(案類分類清單,MATCH(B56,案類名稱清單,0)),"")</f>
        <v/>
      </c>
      <c r="Q56" s="15">
        <f>IFERROR(INDEX(納入全般清單,MATCH(B56,案類名稱清單,0)),"否")</f>
        <v/>
      </c>
      <c r="R56" s="15">
        <f>IFERROR(O56*10000+IFERROR(MATCH(J56,{"尚未偵破","已破獲未移送","已移送","簽結"},0),0)*100+ROW(),0)</f>
        <v/>
      </c>
      <c r="S56" s="225" t="n"/>
      <c r="T56" s="15">
        <f>IFERROR(IF(S56="","是","否"),"是")</f>
        <v/>
      </c>
      <c r="U56" s="225" t="n"/>
    </row>
    <row r="57" ht="30" customHeight="1">
      <c r="A57" s="225" t="n"/>
      <c r="B57" s="225" t="n"/>
      <c r="C57" s="225" t="n"/>
      <c r="D57" s="226" t="n"/>
      <c r="E57" s="225" t="n"/>
      <c r="F57" s="226" t="n"/>
      <c r="G57" s="225" t="n"/>
      <c r="H57" s="225" t="n"/>
      <c r="I57" s="225" t="n"/>
      <c r="J57" s="225" t="n"/>
      <c r="K57" s="225" t="n"/>
      <c r="L57" s="225" t="n"/>
      <c r="M57" s="225" t="n"/>
      <c r="N57" s="15">
        <f>IFERROR(IF(OR(J57="已破獲未移送",J57="已移送"),"是","否"),"")</f>
        <v/>
      </c>
      <c r="O57" s="15">
        <f>IFERROR(IF(D57="","",YEAR(D57)-1911),"")</f>
        <v/>
      </c>
      <c r="P57" s="15">
        <f>IFERROR(INDEX(案類分類清單,MATCH(B57,案類名稱清單,0)),"")</f>
        <v/>
      </c>
      <c r="Q57" s="15">
        <f>IFERROR(INDEX(納入全般清單,MATCH(B57,案類名稱清單,0)),"否")</f>
        <v/>
      </c>
      <c r="R57" s="15">
        <f>IFERROR(O57*10000+IFERROR(MATCH(J57,{"尚未偵破","已破獲未移送","已移送","簽結"},0),0)*100+ROW(),0)</f>
        <v/>
      </c>
      <c r="S57" s="225" t="n"/>
      <c r="T57" s="15">
        <f>IFERROR(IF(S57="","是","否"),"是")</f>
        <v/>
      </c>
      <c r="U57" s="225" t="n"/>
    </row>
    <row r="58" ht="30" customHeight="1">
      <c r="A58" s="225" t="n"/>
      <c r="B58" s="225" t="n"/>
      <c r="C58" s="225" t="n"/>
      <c r="D58" s="226" t="n"/>
      <c r="E58" s="225" t="n"/>
      <c r="F58" s="226" t="n"/>
      <c r="G58" s="225" t="n"/>
      <c r="H58" s="225" t="n"/>
      <c r="I58" s="225" t="n"/>
      <c r="J58" s="225" t="n"/>
      <c r="K58" s="225" t="n"/>
      <c r="L58" s="225" t="n"/>
      <c r="M58" s="225" t="n"/>
      <c r="N58" s="15">
        <f>IFERROR(IF(OR(J58="已破獲未移送",J58="已移送"),"是","否"),"")</f>
        <v/>
      </c>
      <c r="O58" s="15">
        <f>IFERROR(IF(D58="","",YEAR(D58)-1911),"")</f>
        <v/>
      </c>
      <c r="P58" s="15">
        <f>IFERROR(INDEX(案類分類清單,MATCH(B58,案類名稱清單,0)),"")</f>
        <v/>
      </c>
      <c r="Q58" s="15">
        <f>IFERROR(INDEX(納入全般清單,MATCH(B58,案類名稱清單,0)),"否")</f>
        <v/>
      </c>
      <c r="R58" s="15">
        <f>IFERROR(O58*10000+IFERROR(MATCH(J58,{"尚未偵破","已破獲未移送","已移送","簽結"},0),0)*100+ROW(),0)</f>
        <v/>
      </c>
      <c r="S58" s="225" t="n"/>
      <c r="T58" s="15">
        <f>IFERROR(IF(S58="","是","否"),"是")</f>
        <v/>
      </c>
      <c r="U58" s="225" t="n"/>
    </row>
    <row r="59" ht="30" customHeight="1">
      <c r="A59" s="225" t="n"/>
      <c r="B59" s="225" t="n"/>
      <c r="C59" s="225" t="n"/>
      <c r="D59" s="226" t="n"/>
      <c r="E59" s="225" t="n"/>
      <c r="F59" s="226" t="n"/>
      <c r="G59" s="225" t="n"/>
      <c r="H59" s="225" t="n"/>
      <c r="I59" s="225" t="n"/>
      <c r="J59" s="225" t="n"/>
      <c r="K59" s="225" t="n"/>
      <c r="L59" s="225" t="n"/>
      <c r="M59" s="225" t="n"/>
      <c r="N59" s="15">
        <f>IFERROR(IF(OR(J59="已破獲未移送",J59="已移送"),"是","否"),"")</f>
        <v/>
      </c>
      <c r="O59" s="15">
        <f>IFERROR(IF(D59="","",YEAR(D59)-1911),"")</f>
        <v/>
      </c>
      <c r="P59" s="15">
        <f>IFERROR(INDEX(案類分類清單,MATCH(B59,案類名稱清單,0)),"")</f>
        <v/>
      </c>
      <c r="Q59" s="15">
        <f>IFERROR(INDEX(納入全般清單,MATCH(B59,案類名稱清單,0)),"否")</f>
        <v/>
      </c>
      <c r="R59" s="15">
        <f>IFERROR(O59*10000+IFERROR(MATCH(J59,{"尚未偵破","已破獲未移送","已移送","簽結"},0),0)*100+ROW(),0)</f>
        <v/>
      </c>
      <c r="S59" s="225" t="n"/>
      <c r="T59" s="15">
        <f>IFERROR(IF(S59="","是","否"),"是")</f>
        <v/>
      </c>
      <c r="U59" s="225" t="n"/>
    </row>
    <row r="60" ht="30" customHeight="1">
      <c r="A60" s="225" t="n"/>
      <c r="B60" s="225" t="n"/>
      <c r="C60" s="225" t="n"/>
      <c r="D60" s="226" t="n"/>
      <c r="E60" s="225" t="n"/>
      <c r="F60" s="226" t="n"/>
      <c r="G60" s="225" t="n"/>
      <c r="H60" s="225" t="n"/>
      <c r="I60" s="225" t="n"/>
      <c r="J60" s="225" t="n"/>
      <c r="K60" s="225" t="n"/>
      <c r="L60" s="225" t="n"/>
      <c r="M60" s="225" t="n"/>
      <c r="N60" s="15">
        <f>IFERROR(IF(OR(J60="已破獲未移送",J60="已移送"),"是","否"),"")</f>
        <v/>
      </c>
      <c r="O60" s="15">
        <f>IFERROR(IF(D60="","",YEAR(D60)-1911),"")</f>
        <v/>
      </c>
      <c r="P60" s="15">
        <f>IFERROR(INDEX(案類分類清單,MATCH(B60,案類名稱清單,0)),"")</f>
        <v/>
      </c>
      <c r="Q60" s="15">
        <f>IFERROR(INDEX(納入全般清單,MATCH(B60,案類名稱清單,0)),"否")</f>
        <v/>
      </c>
      <c r="R60" s="15">
        <f>IFERROR(O60*10000+IFERROR(MATCH(J60,{"尚未偵破","已破獲未移送","已移送","簽結"},0),0)*100+ROW(),0)</f>
        <v/>
      </c>
      <c r="S60" s="225" t="n"/>
      <c r="T60" s="15">
        <f>IFERROR(IF(S60="","是","否"),"是")</f>
        <v/>
      </c>
      <c r="U60" s="225" t="n"/>
    </row>
    <row r="61" ht="30" customHeight="1">
      <c r="A61" s="225" t="n"/>
      <c r="B61" s="225" t="n"/>
      <c r="C61" s="225" t="n"/>
      <c r="D61" s="226" t="n"/>
      <c r="E61" s="225" t="n"/>
      <c r="F61" s="226" t="n"/>
      <c r="G61" s="225" t="n"/>
      <c r="H61" s="225" t="n"/>
      <c r="I61" s="225" t="n"/>
      <c r="J61" s="225" t="n"/>
      <c r="K61" s="225" t="n"/>
      <c r="L61" s="225" t="n"/>
      <c r="M61" s="225" t="n"/>
      <c r="N61" s="15">
        <f>IFERROR(IF(OR(J61="已破獲未移送",J61="已移送"),"是","否"),"")</f>
        <v/>
      </c>
      <c r="O61" s="15">
        <f>IFERROR(IF(D61="","",YEAR(D61)-1911),"")</f>
        <v/>
      </c>
      <c r="P61" s="15">
        <f>IFERROR(INDEX(案類分類清單,MATCH(B61,案類名稱清單,0)),"")</f>
        <v/>
      </c>
      <c r="Q61" s="15">
        <f>IFERROR(INDEX(納入全般清單,MATCH(B61,案類名稱清單,0)),"否")</f>
        <v/>
      </c>
      <c r="R61" s="15">
        <f>IFERROR(O61*10000+IFERROR(MATCH(J61,{"尚未偵破","已破獲未移送","已移送","簽結"},0),0)*100+ROW(),0)</f>
        <v/>
      </c>
      <c r="S61" s="225" t="n"/>
      <c r="T61" s="15">
        <f>IFERROR(IF(S61="","是","否"),"是")</f>
        <v/>
      </c>
      <c r="U61" s="225" t="n"/>
    </row>
    <row r="62" ht="30" customHeight="1">
      <c r="A62" s="225" t="n"/>
      <c r="B62" s="225" t="n"/>
      <c r="C62" s="225" t="n"/>
      <c r="D62" s="226" t="n"/>
      <c r="E62" s="225" t="n"/>
      <c r="F62" s="226" t="n"/>
      <c r="G62" s="225" t="n"/>
      <c r="H62" s="225" t="n"/>
      <c r="I62" s="225" t="n"/>
      <c r="J62" s="225" t="n"/>
      <c r="K62" s="225" t="n"/>
      <c r="L62" s="225" t="n"/>
      <c r="M62" s="225" t="n"/>
      <c r="N62" s="15">
        <f>IFERROR(IF(OR(J62="已破獲未移送",J62="已移送"),"是","否"),"")</f>
        <v/>
      </c>
      <c r="O62" s="15">
        <f>IFERROR(IF(D62="","",YEAR(D62)-1911),"")</f>
        <v/>
      </c>
      <c r="P62" s="15">
        <f>IFERROR(INDEX(案類分類清單,MATCH(B62,案類名稱清單,0)),"")</f>
        <v/>
      </c>
      <c r="Q62" s="15">
        <f>IFERROR(INDEX(納入全般清單,MATCH(B62,案類名稱清單,0)),"否")</f>
        <v/>
      </c>
      <c r="R62" s="15">
        <f>IFERROR(O62*10000+IFERROR(MATCH(J62,{"尚未偵破","已破獲未移送","已移送","簽結"},0),0)*100+ROW(),0)</f>
        <v/>
      </c>
      <c r="S62" s="225" t="n"/>
      <c r="T62" s="15">
        <f>IFERROR(IF(S62="","是","否"),"是")</f>
        <v/>
      </c>
      <c r="U62" s="225" t="n"/>
    </row>
    <row r="63" ht="30" customHeight="1">
      <c r="A63" s="225" t="n"/>
      <c r="B63" s="225" t="n"/>
      <c r="C63" s="225" t="n"/>
      <c r="D63" s="226" t="n"/>
      <c r="E63" s="225" t="n"/>
      <c r="F63" s="226" t="n"/>
      <c r="G63" s="225" t="n"/>
      <c r="H63" s="225" t="n"/>
      <c r="I63" s="225" t="n"/>
      <c r="J63" s="225" t="n"/>
      <c r="K63" s="225" t="n"/>
      <c r="L63" s="225" t="n"/>
      <c r="M63" s="225" t="n"/>
      <c r="N63" s="15">
        <f>IFERROR(IF(OR(J63="已破獲未移送",J63="已移送"),"是","否"),"")</f>
        <v/>
      </c>
      <c r="O63" s="15">
        <f>IFERROR(IF(D63="","",YEAR(D63)-1911),"")</f>
        <v/>
      </c>
      <c r="P63" s="15">
        <f>IFERROR(INDEX(案類分類清單,MATCH(B63,案類名稱清單,0)),"")</f>
        <v/>
      </c>
      <c r="Q63" s="15">
        <f>IFERROR(INDEX(納入全般清單,MATCH(B63,案類名稱清單,0)),"否")</f>
        <v/>
      </c>
      <c r="R63" s="15">
        <f>IFERROR(O63*10000+IFERROR(MATCH(J63,{"尚未偵破","已破獲未移送","已移送","簽結"},0),0)*100+ROW(),0)</f>
        <v/>
      </c>
      <c r="S63" s="225" t="n"/>
      <c r="T63" s="15">
        <f>IFERROR(IF(S63="","是","否"),"是")</f>
        <v/>
      </c>
      <c r="U63" s="225" t="n"/>
    </row>
    <row r="64" ht="30" customHeight="1">
      <c r="A64" s="225" t="n"/>
      <c r="B64" s="225" t="n"/>
      <c r="C64" s="225" t="n"/>
      <c r="D64" s="226" t="n"/>
      <c r="E64" s="225" t="n"/>
      <c r="F64" s="226" t="n"/>
      <c r="G64" s="225" t="n"/>
      <c r="H64" s="225" t="n"/>
      <c r="I64" s="225" t="n"/>
      <c r="J64" s="225" t="n"/>
      <c r="K64" s="225" t="n"/>
      <c r="L64" s="225" t="n"/>
      <c r="M64" s="225" t="n"/>
      <c r="N64" s="15">
        <f>IFERROR(IF(OR(J64="已破獲未移送",J64="已移送"),"是","否"),"")</f>
        <v/>
      </c>
      <c r="O64" s="15">
        <f>IFERROR(IF(D64="","",YEAR(D64)-1911),"")</f>
        <v/>
      </c>
      <c r="P64" s="15">
        <f>IFERROR(INDEX(案類分類清單,MATCH(B64,案類名稱清單,0)),"")</f>
        <v/>
      </c>
      <c r="Q64" s="15">
        <f>IFERROR(INDEX(納入全般清單,MATCH(B64,案類名稱清單,0)),"否")</f>
        <v/>
      </c>
      <c r="R64" s="15">
        <f>IFERROR(O64*10000+IFERROR(MATCH(J64,{"尚未偵破","已破獲未移送","已移送","簽結"},0),0)*100+ROW(),0)</f>
        <v/>
      </c>
      <c r="S64" s="225" t="n"/>
      <c r="T64" s="15">
        <f>IFERROR(IF(S64="","是","否"),"是")</f>
        <v/>
      </c>
      <c r="U64" s="225" t="n"/>
    </row>
    <row r="65" ht="30" customHeight="1">
      <c r="A65" s="225" t="n"/>
      <c r="B65" s="225" t="n"/>
      <c r="C65" s="225" t="n"/>
      <c r="D65" s="226" t="n"/>
      <c r="E65" s="225" t="n"/>
      <c r="F65" s="226" t="n"/>
      <c r="G65" s="225" t="n"/>
      <c r="H65" s="225" t="n"/>
      <c r="I65" s="225" t="n"/>
      <c r="J65" s="225" t="n"/>
      <c r="K65" s="225" t="n"/>
      <c r="L65" s="225" t="n"/>
      <c r="M65" s="225" t="n"/>
      <c r="N65" s="15">
        <f>IFERROR(IF(OR(J65="已破獲未移送",J65="已移送"),"是","否"),"")</f>
        <v/>
      </c>
      <c r="O65" s="15">
        <f>IFERROR(IF(D65="","",YEAR(D65)-1911),"")</f>
        <v/>
      </c>
      <c r="P65" s="15">
        <f>IFERROR(INDEX(案類分類清單,MATCH(B65,案類名稱清單,0)),"")</f>
        <v/>
      </c>
      <c r="Q65" s="15">
        <f>IFERROR(INDEX(納入全般清單,MATCH(B65,案類名稱清單,0)),"否")</f>
        <v/>
      </c>
      <c r="R65" s="15">
        <f>IFERROR(O65*10000+IFERROR(MATCH(J65,{"尚未偵破","已破獲未移送","已移送","簽結"},0),0)*100+ROW(),0)</f>
        <v/>
      </c>
      <c r="S65" s="225" t="n"/>
      <c r="T65" s="15">
        <f>IFERROR(IF(S65="","是","否"),"是")</f>
        <v/>
      </c>
      <c r="U65" s="225" t="n"/>
    </row>
    <row r="66" ht="30" customHeight="1">
      <c r="A66" s="225" t="n"/>
      <c r="B66" s="225" t="n"/>
      <c r="C66" s="225" t="n"/>
      <c r="D66" s="226" t="n"/>
      <c r="E66" s="225" t="n"/>
      <c r="F66" s="226" t="n"/>
      <c r="G66" s="225" t="n"/>
      <c r="H66" s="225" t="n"/>
      <c r="I66" s="225" t="n"/>
      <c r="J66" s="225" t="n"/>
      <c r="K66" s="225" t="n"/>
      <c r="L66" s="225" t="n"/>
      <c r="M66" s="225" t="n"/>
      <c r="N66" s="15">
        <f>IFERROR(IF(OR(J66="已破獲未移送",J66="已移送"),"是","否"),"")</f>
        <v/>
      </c>
      <c r="O66" s="15">
        <f>IFERROR(IF(D66="","",YEAR(D66)-1911),"")</f>
        <v/>
      </c>
      <c r="P66" s="15">
        <f>IFERROR(INDEX(案類分類清單,MATCH(B66,案類名稱清單,0)),"")</f>
        <v/>
      </c>
      <c r="Q66" s="15">
        <f>IFERROR(INDEX(納入全般清單,MATCH(B66,案類名稱清單,0)),"否")</f>
        <v/>
      </c>
      <c r="R66" s="15">
        <f>IFERROR(O66*10000+IFERROR(MATCH(J66,{"尚未偵破","已破獲未移送","已移送","簽結"},0),0)*100+ROW(),0)</f>
        <v/>
      </c>
      <c r="S66" s="225" t="n"/>
      <c r="T66" s="15">
        <f>IFERROR(IF(S66="","是","否"),"是")</f>
        <v/>
      </c>
      <c r="U66" s="225" t="n"/>
    </row>
    <row r="67" ht="30" customHeight="1">
      <c r="A67" s="225" t="n"/>
      <c r="B67" s="225" t="n"/>
      <c r="C67" s="225" t="n"/>
      <c r="D67" s="226" t="n"/>
      <c r="E67" s="225" t="n"/>
      <c r="F67" s="226" t="n"/>
      <c r="G67" s="225" t="n"/>
      <c r="H67" s="225" t="n"/>
      <c r="I67" s="225" t="n"/>
      <c r="J67" s="225" t="n"/>
      <c r="K67" s="225" t="n"/>
      <c r="L67" s="225" t="n"/>
      <c r="M67" s="225" t="n"/>
      <c r="N67" s="15">
        <f>IFERROR(IF(OR(J67="已破獲未移送",J67="已移送"),"是","否"),"")</f>
        <v/>
      </c>
      <c r="O67" s="15">
        <f>IFERROR(IF(D67="","",YEAR(D67)-1911),"")</f>
        <v/>
      </c>
      <c r="P67" s="15">
        <f>IFERROR(INDEX(案類分類清單,MATCH(B67,案類名稱清單,0)),"")</f>
        <v/>
      </c>
      <c r="Q67" s="15">
        <f>IFERROR(INDEX(納入全般清單,MATCH(B67,案類名稱清單,0)),"否")</f>
        <v/>
      </c>
      <c r="R67" s="15">
        <f>IFERROR(O67*10000+IFERROR(MATCH(J67,{"尚未偵破","已破獲未移送","已移送","簽結"},0),0)*100+ROW(),0)</f>
        <v/>
      </c>
      <c r="S67" s="225" t="n"/>
      <c r="T67" s="15">
        <f>IFERROR(IF(S67="","是","否"),"是")</f>
        <v/>
      </c>
      <c r="U67" s="225" t="n"/>
    </row>
    <row r="68" ht="30" customHeight="1">
      <c r="A68" s="225" t="n"/>
      <c r="B68" s="225" t="n"/>
      <c r="C68" s="225" t="n"/>
      <c r="D68" s="226" t="n"/>
      <c r="E68" s="225" t="n"/>
      <c r="F68" s="226" t="n"/>
      <c r="G68" s="225" t="n"/>
      <c r="H68" s="225" t="n"/>
      <c r="I68" s="225" t="n"/>
      <c r="J68" s="225" t="n"/>
      <c r="K68" s="225" t="n"/>
      <c r="L68" s="225" t="n"/>
      <c r="M68" s="225" t="n"/>
      <c r="N68" s="15">
        <f>IFERROR(IF(OR(J68="已破獲未移送",J68="已移送"),"是","否"),"")</f>
        <v/>
      </c>
      <c r="O68" s="15">
        <f>IFERROR(IF(D68="","",YEAR(D68)-1911),"")</f>
        <v/>
      </c>
      <c r="P68" s="15">
        <f>IFERROR(INDEX(案類分類清單,MATCH(B68,案類名稱清單,0)),"")</f>
        <v/>
      </c>
      <c r="Q68" s="15">
        <f>IFERROR(INDEX(納入全般清單,MATCH(B68,案類名稱清單,0)),"否")</f>
        <v/>
      </c>
      <c r="R68" s="15">
        <f>IFERROR(O68*10000+IFERROR(MATCH(J68,{"尚未偵破","已破獲未移送","已移送","簽結"},0),0)*100+ROW(),0)</f>
        <v/>
      </c>
      <c r="S68" s="225" t="n"/>
      <c r="T68" s="15">
        <f>IFERROR(IF(S68="","是","否"),"是")</f>
        <v/>
      </c>
      <c r="U68" s="225" t="n"/>
    </row>
    <row r="69" ht="30" customHeight="1">
      <c r="A69" s="225" t="n"/>
      <c r="B69" s="225" t="n"/>
      <c r="C69" s="225" t="n"/>
      <c r="D69" s="226" t="n"/>
      <c r="E69" s="225" t="n"/>
      <c r="F69" s="226" t="n"/>
      <c r="G69" s="225" t="n"/>
      <c r="H69" s="225" t="n"/>
      <c r="I69" s="225" t="n"/>
      <c r="J69" s="225" t="n"/>
      <c r="K69" s="225" t="n"/>
      <c r="L69" s="225" t="n"/>
      <c r="M69" s="225" t="n"/>
      <c r="N69" s="15">
        <f>IFERROR(IF(OR(J69="已破獲未移送",J69="已移送"),"是","否"),"")</f>
        <v/>
      </c>
      <c r="O69" s="15">
        <f>IFERROR(IF(D69="","",YEAR(D69)-1911),"")</f>
        <v/>
      </c>
      <c r="P69" s="15">
        <f>IFERROR(INDEX(案類分類清單,MATCH(B69,案類名稱清單,0)),"")</f>
        <v/>
      </c>
      <c r="Q69" s="15">
        <f>IFERROR(INDEX(納入全般清單,MATCH(B69,案類名稱清單,0)),"否")</f>
        <v/>
      </c>
      <c r="R69" s="15">
        <f>IFERROR(O69*10000+IFERROR(MATCH(J69,{"尚未偵破","已破獲未移送","已移送","簽結"},0),0)*100+ROW(),0)</f>
        <v/>
      </c>
      <c r="S69" s="225" t="n"/>
      <c r="T69" s="15">
        <f>IFERROR(IF(S69="","是","否"),"是")</f>
        <v/>
      </c>
      <c r="U69" s="225" t="n"/>
    </row>
    <row r="70" ht="30" customHeight="1">
      <c r="A70" s="225" t="n"/>
      <c r="B70" s="225" t="n"/>
      <c r="C70" s="225" t="n"/>
      <c r="D70" s="226" t="n"/>
      <c r="E70" s="225" t="n"/>
      <c r="F70" s="226" t="n"/>
      <c r="G70" s="225" t="n"/>
      <c r="H70" s="225" t="n"/>
      <c r="I70" s="225" t="n"/>
      <c r="J70" s="225" t="n"/>
      <c r="K70" s="225" t="n"/>
      <c r="L70" s="225" t="n"/>
      <c r="M70" s="225" t="n"/>
      <c r="N70" s="15">
        <f>IFERROR(IF(OR(J70="已破獲未移送",J70="已移送"),"是","否"),"")</f>
        <v/>
      </c>
      <c r="O70" s="15">
        <f>IFERROR(IF(D70="","",YEAR(D70)-1911),"")</f>
        <v/>
      </c>
      <c r="P70" s="15">
        <f>IFERROR(INDEX(案類分類清單,MATCH(B70,案類名稱清單,0)),"")</f>
        <v/>
      </c>
      <c r="Q70" s="15">
        <f>IFERROR(INDEX(納入全般清單,MATCH(B70,案類名稱清單,0)),"否")</f>
        <v/>
      </c>
      <c r="R70" s="15">
        <f>IFERROR(O70*10000+IFERROR(MATCH(J70,{"尚未偵破","已破獲未移送","已移送","簽結"},0),0)*100+ROW(),0)</f>
        <v/>
      </c>
      <c r="S70" s="225" t="n"/>
      <c r="T70" s="15">
        <f>IFERROR(IF(S70="","是","否"),"是")</f>
        <v/>
      </c>
      <c r="U70" s="225" t="n"/>
    </row>
    <row r="71" ht="30" customHeight="1">
      <c r="A71" s="225" t="n"/>
      <c r="B71" s="225" t="n"/>
      <c r="C71" s="225" t="n"/>
      <c r="D71" s="226" t="n"/>
      <c r="E71" s="225" t="n"/>
      <c r="F71" s="226" t="n"/>
      <c r="G71" s="225" t="n"/>
      <c r="H71" s="225" t="n"/>
      <c r="I71" s="225" t="n"/>
      <c r="J71" s="225" t="n"/>
      <c r="K71" s="225" t="n"/>
      <c r="L71" s="225" t="n"/>
      <c r="M71" s="225" t="n"/>
      <c r="N71" s="15">
        <f>IFERROR(IF(OR(J71="已破獲未移送",J71="已移送"),"是","否"),"")</f>
        <v/>
      </c>
      <c r="O71" s="15">
        <f>IFERROR(IF(D71="","",YEAR(D71)-1911),"")</f>
        <v/>
      </c>
      <c r="P71" s="15">
        <f>IFERROR(INDEX(案類分類清單,MATCH(B71,案類名稱清單,0)),"")</f>
        <v/>
      </c>
      <c r="Q71" s="15">
        <f>IFERROR(INDEX(納入全般清單,MATCH(B71,案類名稱清單,0)),"否")</f>
        <v/>
      </c>
      <c r="R71" s="15">
        <f>IFERROR(O71*10000+IFERROR(MATCH(J71,{"尚未偵破","已破獲未移送","已移送","簽結"},0),0)*100+ROW(),0)</f>
        <v/>
      </c>
      <c r="S71" s="225" t="n"/>
      <c r="T71" s="15">
        <f>IFERROR(IF(S71="","是","否"),"是")</f>
        <v/>
      </c>
      <c r="U71" s="225" t="n"/>
    </row>
    <row r="72" ht="30" customHeight="1">
      <c r="A72" s="225" t="n"/>
      <c r="B72" s="225" t="n"/>
      <c r="C72" s="225" t="n"/>
      <c r="D72" s="226" t="n"/>
      <c r="E72" s="225" t="n"/>
      <c r="F72" s="226" t="n"/>
      <c r="G72" s="225" t="n"/>
      <c r="H72" s="225" t="n"/>
      <c r="I72" s="225" t="n"/>
      <c r="J72" s="225" t="n"/>
      <c r="K72" s="225" t="n"/>
      <c r="L72" s="225" t="n"/>
      <c r="M72" s="225" t="n"/>
      <c r="N72" s="15">
        <f>IFERROR(IF(OR(J72="已破獲未移送",J72="已移送"),"是","否"),"")</f>
        <v/>
      </c>
      <c r="O72" s="15">
        <f>IFERROR(IF(D72="","",YEAR(D72)-1911),"")</f>
        <v/>
      </c>
      <c r="P72" s="15">
        <f>IFERROR(INDEX(案類分類清單,MATCH(B72,案類名稱清單,0)),"")</f>
        <v/>
      </c>
      <c r="Q72" s="15">
        <f>IFERROR(INDEX(納入全般清單,MATCH(B72,案類名稱清單,0)),"否")</f>
        <v/>
      </c>
      <c r="R72" s="15">
        <f>IFERROR(O72*10000+IFERROR(MATCH(J72,{"尚未偵破","已破獲未移送","已移送","簽結"},0),0)*100+ROW(),0)</f>
        <v/>
      </c>
      <c r="S72" s="225" t="n"/>
      <c r="T72" s="15">
        <f>IFERROR(IF(S72="","是","否"),"是")</f>
        <v/>
      </c>
      <c r="U72" s="225" t="n"/>
    </row>
    <row r="73" ht="30" customHeight="1">
      <c r="A73" s="225" t="n"/>
      <c r="B73" s="225" t="n"/>
      <c r="C73" s="225" t="n"/>
      <c r="D73" s="226" t="n"/>
      <c r="E73" s="225" t="n"/>
      <c r="F73" s="226" t="n"/>
      <c r="G73" s="225" t="n"/>
      <c r="H73" s="225" t="n"/>
      <c r="I73" s="225" t="n"/>
      <c r="J73" s="225" t="n"/>
      <c r="K73" s="225" t="n"/>
      <c r="L73" s="225" t="n"/>
      <c r="M73" s="225" t="n"/>
      <c r="N73" s="15">
        <f>IFERROR(IF(OR(J73="已破獲未移送",J73="已移送"),"是","否"),"")</f>
        <v/>
      </c>
      <c r="O73" s="15">
        <f>IFERROR(IF(D73="","",YEAR(D73)-1911),"")</f>
        <v/>
      </c>
      <c r="P73" s="15">
        <f>IFERROR(INDEX(案類分類清單,MATCH(B73,案類名稱清單,0)),"")</f>
        <v/>
      </c>
      <c r="Q73" s="15">
        <f>IFERROR(INDEX(納入全般清單,MATCH(B73,案類名稱清單,0)),"否")</f>
        <v/>
      </c>
      <c r="R73" s="15">
        <f>IFERROR(O73*10000+IFERROR(MATCH(J73,{"尚未偵破","已破獲未移送","已移送","簽結"},0),0)*100+ROW(),0)</f>
        <v/>
      </c>
      <c r="S73" s="225" t="n"/>
      <c r="T73" s="15">
        <f>IFERROR(IF(S73="","是","否"),"是")</f>
        <v/>
      </c>
      <c r="U73" s="225" t="n"/>
    </row>
    <row r="74" ht="30" customHeight="1">
      <c r="A74" s="225" t="n"/>
      <c r="B74" s="225" t="n"/>
      <c r="C74" s="225" t="n"/>
      <c r="D74" s="226" t="n"/>
      <c r="E74" s="225" t="n"/>
      <c r="F74" s="226" t="n"/>
      <c r="G74" s="225" t="n"/>
      <c r="H74" s="225" t="n"/>
      <c r="I74" s="225" t="n"/>
      <c r="J74" s="225" t="n"/>
      <c r="K74" s="225" t="n"/>
      <c r="L74" s="225" t="n"/>
      <c r="M74" s="225" t="n"/>
      <c r="N74" s="15">
        <f>IFERROR(IF(OR(J74="已破獲未移送",J74="已移送"),"是","否"),"")</f>
        <v/>
      </c>
      <c r="O74" s="15">
        <f>IFERROR(IF(D74="","",YEAR(D74)-1911),"")</f>
        <v/>
      </c>
      <c r="P74" s="15">
        <f>IFERROR(INDEX(案類分類清單,MATCH(B74,案類名稱清單,0)),"")</f>
        <v/>
      </c>
      <c r="Q74" s="15">
        <f>IFERROR(INDEX(納入全般清單,MATCH(B74,案類名稱清單,0)),"否")</f>
        <v/>
      </c>
      <c r="R74" s="15">
        <f>IFERROR(O74*10000+IFERROR(MATCH(J74,{"尚未偵破","已破獲未移送","已移送","簽結"},0),0)*100+ROW(),0)</f>
        <v/>
      </c>
      <c r="S74" s="225" t="n"/>
      <c r="T74" s="15">
        <f>IFERROR(IF(S74="","是","否"),"是")</f>
        <v/>
      </c>
      <c r="U74" s="225" t="n"/>
    </row>
    <row r="75" ht="30" customHeight="1">
      <c r="A75" s="225" t="n"/>
      <c r="B75" s="225" t="n"/>
      <c r="C75" s="225" t="n"/>
      <c r="D75" s="226" t="n"/>
      <c r="E75" s="225" t="n"/>
      <c r="F75" s="226" t="n"/>
      <c r="G75" s="225" t="n"/>
      <c r="H75" s="225" t="n"/>
      <c r="I75" s="225" t="n"/>
      <c r="J75" s="225" t="n"/>
      <c r="K75" s="225" t="n"/>
      <c r="L75" s="225" t="n"/>
      <c r="M75" s="225" t="n"/>
      <c r="N75" s="15">
        <f>IFERROR(IF(OR(J75="已破獲未移送",J75="已移送"),"是","否"),"")</f>
        <v/>
      </c>
      <c r="O75" s="15">
        <f>IFERROR(IF(D75="","",YEAR(D75)-1911),"")</f>
        <v/>
      </c>
      <c r="P75" s="15">
        <f>IFERROR(INDEX(案類分類清單,MATCH(B75,案類名稱清單,0)),"")</f>
        <v/>
      </c>
      <c r="Q75" s="15">
        <f>IFERROR(INDEX(納入全般清單,MATCH(B75,案類名稱清單,0)),"否")</f>
        <v/>
      </c>
      <c r="R75" s="15">
        <f>IFERROR(O75*10000+IFERROR(MATCH(J75,{"尚未偵破","已破獲未移送","已移送","簽結"},0),0)*100+ROW(),0)</f>
        <v/>
      </c>
      <c r="S75" s="225" t="n"/>
      <c r="T75" s="15">
        <f>IFERROR(IF(S75="","是","否"),"是")</f>
        <v/>
      </c>
      <c r="U75" s="225" t="n"/>
    </row>
    <row r="76" ht="30" customHeight="1">
      <c r="A76" s="225" t="n"/>
      <c r="B76" s="225" t="n"/>
      <c r="C76" s="225" t="n"/>
      <c r="D76" s="226" t="n"/>
      <c r="E76" s="225" t="n"/>
      <c r="F76" s="226" t="n"/>
      <c r="G76" s="225" t="n"/>
      <c r="H76" s="225" t="n"/>
      <c r="I76" s="225" t="n"/>
      <c r="J76" s="225" t="n"/>
      <c r="K76" s="225" t="n"/>
      <c r="L76" s="225" t="n"/>
      <c r="M76" s="225" t="n"/>
      <c r="N76" s="15">
        <f>IFERROR(IF(OR(J76="已破獲未移送",J76="已移送"),"是","否"),"")</f>
        <v/>
      </c>
      <c r="O76" s="15">
        <f>IFERROR(IF(D76="","",YEAR(D76)-1911),"")</f>
        <v/>
      </c>
      <c r="P76" s="15">
        <f>IFERROR(INDEX(案類分類清單,MATCH(B76,案類名稱清單,0)),"")</f>
        <v/>
      </c>
      <c r="Q76" s="15">
        <f>IFERROR(INDEX(納入全般清單,MATCH(B76,案類名稱清單,0)),"否")</f>
        <v/>
      </c>
      <c r="R76" s="15">
        <f>IFERROR(O76*10000+IFERROR(MATCH(J76,{"尚未偵破","已破獲未移送","已移送","簽結"},0),0)*100+ROW(),0)</f>
        <v/>
      </c>
      <c r="S76" s="225" t="n"/>
      <c r="T76" s="15">
        <f>IFERROR(IF(S76="","是","否"),"是")</f>
        <v/>
      </c>
      <c r="U76" s="225" t="n"/>
    </row>
    <row r="77" ht="30" customHeight="1">
      <c r="A77" s="225" t="n"/>
      <c r="B77" s="225" t="n"/>
      <c r="C77" s="225" t="n"/>
      <c r="D77" s="226" t="n"/>
      <c r="E77" s="225" t="n"/>
      <c r="F77" s="226" t="n"/>
      <c r="G77" s="225" t="n"/>
      <c r="H77" s="225" t="n"/>
      <c r="I77" s="225" t="n"/>
      <c r="J77" s="225" t="n"/>
      <c r="K77" s="225" t="n"/>
      <c r="L77" s="225" t="n"/>
      <c r="M77" s="225" t="n"/>
      <c r="N77" s="15">
        <f>IFERROR(IF(OR(J77="已破獲未移送",J77="已移送"),"是","否"),"")</f>
        <v/>
      </c>
      <c r="O77" s="15">
        <f>IFERROR(IF(D77="","",YEAR(D77)-1911),"")</f>
        <v/>
      </c>
      <c r="P77" s="15">
        <f>IFERROR(INDEX(案類分類清單,MATCH(B77,案類名稱清單,0)),"")</f>
        <v/>
      </c>
      <c r="Q77" s="15">
        <f>IFERROR(INDEX(納入全般清單,MATCH(B77,案類名稱清單,0)),"否")</f>
        <v/>
      </c>
      <c r="R77" s="15">
        <f>IFERROR(O77*10000+IFERROR(MATCH(J77,{"尚未偵破","已破獲未移送","已移送","簽結"},0),0)*100+ROW(),0)</f>
        <v/>
      </c>
      <c r="S77" s="225" t="n"/>
      <c r="T77" s="15">
        <f>IFERROR(IF(S77="","是","否"),"是")</f>
        <v/>
      </c>
      <c r="U77" s="225" t="n"/>
    </row>
    <row r="78" ht="30" customHeight="1">
      <c r="A78" s="225" t="n"/>
      <c r="B78" s="225" t="n"/>
      <c r="C78" s="225" t="n"/>
      <c r="D78" s="226" t="n"/>
      <c r="E78" s="225" t="n"/>
      <c r="F78" s="226" t="n"/>
      <c r="G78" s="225" t="n"/>
      <c r="H78" s="225" t="n"/>
      <c r="I78" s="225" t="n"/>
      <c r="J78" s="225" t="n"/>
      <c r="K78" s="225" t="n"/>
      <c r="L78" s="225" t="n"/>
      <c r="M78" s="225" t="n"/>
      <c r="N78" s="15">
        <f>IFERROR(IF(OR(J78="已破獲未移送",J78="已移送"),"是","否"),"")</f>
        <v/>
      </c>
      <c r="O78" s="15">
        <f>IFERROR(IF(D78="","",YEAR(D78)-1911),"")</f>
        <v/>
      </c>
      <c r="P78" s="15">
        <f>IFERROR(INDEX(案類分類清單,MATCH(B78,案類名稱清單,0)),"")</f>
        <v/>
      </c>
      <c r="Q78" s="15">
        <f>IFERROR(INDEX(納入全般清單,MATCH(B78,案類名稱清單,0)),"否")</f>
        <v/>
      </c>
      <c r="R78" s="15">
        <f>IFERROR(O78*10000+IFERROR(MATCH(J78,{"尚未偵破","已破獲未移送","已移送","簽結"},0),0)*100+ROW(),0)</f>
        <v/>
      </c>
      <c r="S78" s="225" t="n"/>
      <c r="T78" s="15">
        <f>IFERROR(IF(S78="","是","否"),"是")</f>
        <v/>
      </c>
      <c r="U78" s="225" t="n"/>
    </row>
    <row r="79" ht="30" customHeight="1">
      <c r="A79" s="225" t="n"/>
      <c r="B79" s="225" t="n"/>
      <c r="C79" s="225" t="n"/>
      <c r="D79" s="226" t="n"/>
      <c r="E79" s="225" t="n"/>
      <c r="F79" s="226" t="n"/>
      <c r="G79" s="225" t="n"/>
      <c r="H79" s="225" t="n"/>
      <c r="I79" s="225" t="n"/>
      <c r="J79" s="225" t="n"/>
      <c r="K79" s="225" t="n"/>
      <c r="L79" s="225" t="n"/>
      <c r="M79" s="225" t="n"/>
      <c r="N79" s="15">
        <f>IFERROR(IF(OR(J79="已破獲未移送",J79="已移送"),"是","否"),"")</f>
        <v/>
      </c>
      <c r="O79" s="15">
        <f>IFERROR(IF(D79="","",YEAR(D79)-1911),"")</f>
        <v/>
      </c>
      <c r="P79" s="15">
        <f>IFERROR(INDEX(案類分類清單,MATCH(B79,案類名稱清單,0)),"")</f>
        <v/>
      </c>
      <c r="Q79" s="15">
        <f>IFERROR(INDEX(納入全般清單,MATCH(B79,案類名稱清單,0)),"否")</f>
        <v/>
      </c>
      <c r="R79" s="15">
        <f>IFERROR(O79*10000+IFERROR(MATCH(J79,{"尚未偵破","已破獲未移送","已移送","簽結"},0),0)*100+ROW(),0)</f>
        <v/>
      </c>
      <c r="S79" s="225" t="n"/>
      <c r="T79" s="15">
        <f>IFERROR(IF(S79="","是","否"),"是")</f>
        <v/>
      </c>
      <c r="U79" s="225" t="n"/>
    </row>
    <row r="80" ht="30" customHeight="1">
      <c r="A80" s="225" t="n"/>
      <c r="B80" s="225" t="n"/>
      <c r="C80" s="225" t="n"/>
      <c r="D80" s="226" t="n"/>
      <c r="E80" s="225" t="n"/>
      <c r="F80" s="226" t="n"/>
      <c r="G80" s="225" t="n"/>
      <c r="H80" s="225" t="n"/>
      <c r="I80" s="225" t="n"/>
      <c r="J80" s="225" t="n"/>
      <c r="K80" s="225" t="n"/>
      <c r="L80" s="225" t="n"/>
      <c r="M80" s="225" t="n"/>
      <c r="N80" s="15">
        <f>IFERROR(IF(OR(J80="已破獲未移送",J80="已移送"),"是","否"),"")</f>
        <v/>
      </c>
      <c r="O80" s="15">
        <f>IFERROR(IF(D80="","",YEAR(D80)-1911),"")</f>
        <v/>
      </c>
      <c r="P80" s="15">
        <f>IFERROR(INDEX(案類分類清單,MATCH(B80,案類名稱清單,0)),"")</f>
        <v/>
      </c>
      <c r="Q80" s="15">
        <f>IFERROR(INDEX(納入全般清單,MATCH(B80,案類名稱清單,0)),"否")</f>
        <v/>
      </c>
      <c r="R80" s="15">
        <f>IFERROR(O80*10000+IFERROR(MATCH(J80,{"尚未偵破","已破獲未移送","已移送","簽結"},0),0)*100+ROW(),0)</f>
        <v/>
      </c>
      <c r="S80" s="225" t="n"/>
      <c r="T80" s="15">
        <f>IFERROR(IF(S80="","是","否"),"是")</f>
        <v/>
      </c>
      <c r="U80" s="225" t="n"/>
    </row>
    <row r="81" ht="30" customHeight="1">
      <c r="A81" s="225" t="n"/>
      <c r="B81" s="225" t="n"/>
      <c r="C81" s="225" t="n"/>
      <c r="D81" s="226" t="n"/>
      <c r="E81" s="225" t="n"/>
      <c r="F81" s="226" t="n"/>
      <c r="G81" s="225" t="n"/>
      <c r="H81" s="225" t="n"/>
      <c r="I81" s="225" t="n"/>
      <c r="J81" s="225" t="n"/>
      <c r="K81" s="225" t="n"/>
      <c r="L81" s="225" t="n"/>
      <c r="M81" s="225" t="n"/>
      <c r="N81" s="15">
        <f>IFERROR(IF(OR(J81="已破獲未移送",J81="已移送"),"是","否"),"")</f>
        <v/>
      </c>
      <c r="O81" s="15">
        <f>IFERROR(IF(D81="","",YEAR(D81)-1911),"")</f>
        <v/>
      </c>
      <c r="P81" s="15">
        <f>IFERROR(INDEX(案類分類清單,MATCH(B81,案類名稱清單,0)),"")</f>
        <v/>
      </c>
      <c r="Q81" s="15">
        <f>IFERROR(INDEX(納入全般清單,MATCH(B81,案類名稱清單,0)),"否")</f>
        <v/>
      </c>
      <c r="R81" s="15">
        <f>IFERROR(O81*10000+IFERROR(MATCH(J81,{"尚未偵破","已破獲未移送","已移送","簽結"},0),0)*100+ROW(),0)</f>
        <v/>
      </c>
      <c r="S81" s="225" t="n"/>
      <c r="T81" s="15">
        <f>IFERROR(IF(S81="","是","否"),"是")</f>
        <v/>
      </c>
      <c r="U81" s="225" t="n"/>
    </row>
    <row r="82" ht="30" customHeight="1">
      <c r="A82" s="225" t="n"/>
      <c r="B82" s="225" t="n"/>
      <c r="C82" s="225" t="n"/>
      <c r="D82" s="226" t="n"/>
      <c r="E82" s="225" t="n"/>
      <c r="F82" s="226" t="n"/>
      <c r="G82" s="225" t="n"/>
      <c r="H82" s="225" t="n"/>
      <c r="I82" s="225" t="n"/>
      <c r="J82" s="225" t="n"/>
      <c r="K82" s="225" t="n"/>
      <c r="L82" s="225" t="n"/>
      <c r="M82" s="225" t="n"/>
      <c r="N82" s="15">
        <f>IFERROR(IF(OR(J82="已破獲未移送",J82="已移送"),"是","否"),"")</f>
        <v/>
      </c>
      <c r="O82" s="15">
        <f>IFERROR(IF(D82="","",YEAR(D82)-1911),"")</f>
        <v/>
      </c>
      <c r="P82" s="15">
        <f>IFERROR(INDEX(案類分類清單,MATCH(B82,案類名稱清單,0)),"")</f>
        <v/>
      </c>
      <c r="Q82" s="15">
        <f>IFERROR(INDEX(納入全般清單,MATCH(B82,案類名稱清單,0)),"否")</f>
        <v/>
      </c>
      <c r="R82" s="15">
        <f>IFERROR(O82*10000+IFERROR(MATCH(J82,{"尚未偵破","已破獲未移送","已移送","簽結"},0),0)*100+ROW(),0)</f>
        <v/>
      </c>
      <c r="S82" s="225" t="n"/>
      <c r="T82" s="15">
        <f>IFERROR(IF(S82="","是","否"),"是")</f>
        <v/>
      </c>
      <c r="U82" s="225" t="n"/>
    </row>
    <row r="83" ht="30" customHeight="1">
      <c r="A83" s="225" t="n"/>
      <c r="B83" s="225" t="n"/>
      <c r="C83" s="225" t="n"/>
      <c r="D83" s="226" t="n"/>
      <c r="E83" s="225" t="n"/>
      <c r="F83" s="226" t="n"/>
      <c r="G83" s="225" t="n"/>
      <c r="H83" s="225" t="n"/>
      <c r="I83" s="225" t="n"/>
      <c r="J83" s="225" t="n"/>
      <c r="K83" s="225" t="n"/>
      <c r="L83" s="225" t="n"/>
      <c r="M83" s="225" t="n"/>
      <c r="N83" s="15">
        <f>IFERROR(IF(OR(J83="已破獲未移送",J83="已移送"),"是","否"),"")</f>
        <v/>
      </c>
      <c r="O83" s="15">
        <f>IFERROR(IF(D83="","",YEAR(D83)-1911),"")</f>
        <v/>
      </c>
      <c r="P83" s="15">
        <f>IFERROR(INDEX(案類分類清單,MATCH(B83,案類名稱清單,0)),"")</f>
        <v/>
      </c>
      <c r="Q83" s="15">
        <f>IFERROR(INDEX(納入全般清單,MATCH(B83,案類名稱清單,0)),"否")</f>
        <v/>
      </c>
      <c r="R83" s="15">
        <f>IFERROR(O83*10000+IFERROR(MATCH(J83,{"尚未偵破","已破獲未移送","已移送","簽結"},0),0)*100+ROW(),0)</f>
        <v/>
      </c>
      <c r="S83" s="225" t="n"/>
      <c r="T83" s="15">
        <f>IFERROR(IF(S83="","是","否"),"是")</f>
        <v/>
      </c>
      <c r="U83" s="225" t="n"/>
    </row>
    <row r="84" ht="30" customHeight="1">
      <c r="A84" s="225" t="n"/>
      <c r="B84" s="225" t="n"/>
      <c r="C84" s="225" t="n"/>
      <c r="D84" s="226" t="n"/>
      <c r="E84" s="225" t="n"/>
      <c r="F84" s="226" t="n"/>
      <c r="G84" s="225" t="n"/>
      <c r="H84" s="225" t="n"/>
      <c r="I84" s="225" t="n"/>
      <c r="J84" s="225" t="n"/>
      <c r="K84" s="225" t="n"/>
      <c r="L84" s="225" t="n"/>
      <c r="M84" s="225" t="n"/>
      <c r="N84" s="15">
        <f>IFERROR(IF(OR(J84="已破獲未移送",J84="已移送"),"是","否"),"")</f>
        <v/>
      </c>
      <c r="O84" s="15">
        <f>IFERROR(IF(D84="","",YEAR(D84)-1911),"")</f>
        <v/>
      </c>
      <c r="P84" s="15">
        <f>IFERROR(INDEX(案類分類清單,MATCH(B84,案類名稱清單,0)),"")</f>
        <v/>
      </c>
      <c r="Q84" s="15">
        <f>IFERROR(INDEX(納入全般清單,MATCH(B84,案類名稱清單,0)),"否")</f>
        <v/>
      </c>
      <c r="R84" s="15">
        <f>IFERROR(O84*10000+IFERROR(MATCH(J84,{"尚未偵破","已破獲未移送","已移送","簽結"},0),0)*100+ROW(),0)</f>
        <v/>
      </c>
      <c r="S84" s="225" t="n"/>
      <c r="T84" s="15">
        <f>IFERROR(IF(S84="","是","否"),"是")</f>
        <v/>
      </c>
      <c r="U84" s="225" t="n"/>
    </row>
    <row r="85" ht="30" customHeight="1">
      <c r="A85" s="225" t="n"/>
      <c r="B85" s="225" t="n"/>
      <c r="C85" s="225" t="n"/>
      <c r="D85" s="226" t="n"/>
      <c r="E85" s="225" t="n"/>
      <c r="F85" s="226" t="n"/>
      <c r="G85" s="225" t="n"/>
      <c r="H85" s="225" t="n"/>
      <c r="I85" s="225" t="n"/>
      <c r="J85" s="225" t="n"/>
      <c r="K85" s="225" t="n"/>
      <c r="L85" s="225" t="n"/>
      <c r="M85" s="225" t="n"/>
      <c r="N85" s="15">
        <f>IFERROR(IF(OR(J85="已破獲未移送",J85="已移送"),"是","否"),"")</f>
        <v/>
      </c>
      <c r="O85" s="15">
        <f>IFERROR(IF(D85="","",YEAR(D85)-1911),"")</f>
        <v/>
      </c>
      <c r="P85" s="15">
        <f>IFERROR(INDEX(案類分類清單,MATCH(B85,案類名稱清單,0)),"")</f>
        <v/>
      </c>
      <c r="Q85" s="15">
        <f>IFERROR(INDEX(納入全般清單,MATCH(B85,案類名稱清單,0)),"否")</f>
        <v/>
      </c>
      <c r="R85" s="15">
        <f>IFERROR(O85*10000+IFERROR(MATCH(J85,{"尚未偵破","已破獲未移送","已移送","簽結"},0),0)*100+ROW(),0)</f>
        <v/>
      </c>
      <c r="S85" s="225" t="n"/>
      <c r="T85" s="15">
        <f>IFERROR(IF(S85="","是","否"),"是")</f>
        <v/>
      </c>
      <c r="U85" s="225" t="n"/>
    </row>
    <row r="86" ht="30" customHeight="1">
      <c r="A86" s="225" t="n"/>
      <c r="B86" s="225" t="n"/>
      <c r="C86" s="225" t="n"/>
      <c r="D86" s="226" t="n"/>
      <c r="E86" s="225" t="n"/>
      <c r="F86" s="226" t="n"/>
      <c r="G86" s="225" t="n"/>
      <c r="H86" s="225" t="n"/>
      <c r="I86" s="225" t="n"/>
      <c r="J86" s="225" t="n"/>
      <c r="K86" s="225" t="n"/>
      <c r="L86" s="225" t="n"/>
      <c r="M86" s="225" t="n"/>
      <c r="N86" s="15">
        <f>IFERROR(IF(OR(J86="已破獲未移送",J86="已移送"),"是","否"),"")</f>
        <v/>
      </c>
      <c r="O86" s="15">
        <f>IFERROR(IF(D86="","",YEAR(D86)-1911),"")</f>
        <v/>
      </c>
      <c r="P86" s="15">
        <f>IFERROR(INDEX(案類分類清單,MATCH(B86,案類名稱清單,0)),"")</f>
        <v/>
      </c>
      <c r="Q86" s="15">
        <f>IFERROR(INDEX(納入全般清單,MATCH(B86,案類名稱清單,0)),"否")</f>
        <v/>
      </c>
      <c r="R86" s="15">
        <f>IFERROR(O86*10000+IFERROR(MATCH(J86,{"尚未偵破","已破獲未移送","已移送","簽結"},0),0)*100+ROW(),0)</f>
        <v/>
      </c>
      <c r="S86" s="225" t="n"/>
      <c r="T86" s="15">
        <f>IFERROR(IF(S86="","是","否"),"是")</f>
        <v/>
      </c>
      <c r="U86" s="225" t="n"/>
    </row>
    <row r="87" ht="30" customHeight="1">
      <c r="A87" s="225" t="n"/>
      <c r="B87" s="225" t="n"/>
      <c r="C87" s="225" t="n"/>
      <c r="D87" s="226" t="n"/>
      <c r="E87" s="225" t="n"/>
      <c r="F87" s="226" t="n"/>
      <c r="G87" s="225" t="n"/>
      <c r="H87" s="225" t="n"/>
      <c r="I87" s="225" t="n"/>
      <c r="J87" s="225" t="n"/>
      <c r="K87" s="225" t="n"/>
      <c r="L87" s="225" t="n"/>
      <c r="M87" s="225" t="n"/>
      <c r="N87" s="15">
        <f>IFERROR(IF(OR(J87="已破獲未移送",J87="已移送"),"是","否"),"")</f>
        <v/>
      </c>
      <c r="O87" s="15">
        <f>IFERROR(IF(D87="","",YEAR(D87)-1911),"")</f>
        <v/>
      </c>
      <c r="P87" s="15">
        <f>IFERROR(INDEX(案類分類清單,MATCH(B87,案類名稱清單,0)),"")</f>
        <v/>
      </c>
      <c r="Q87" s="15">
        <f>IFERROR(INDEX(納入全般清單,MATCH(B87,案類名稱清單,0)),"否")</f>
        <v/>
      </c>
      <c r="R87" s="15">
        <f>IFERROR(O87*10000+IFERROR(MATCH(J87,{"尚未偵破","已破獲未移送","已移送","簽結"},0),0)*100+ROW(),0)</f>
        <v/>
      </c>
      <c r="S87" s="225" t="n"/>
      <c r="T87" s="15">
        <f>IFERROR(IF(S87="","是","否"),"是")</f>
        <v/>
      </c>
      <c r="U87" s="225" t="n"/>
    </row>
    <row r="88" ht="30" customHeight="1">
      <c r="A88" s="225" t="n"/>
      <c r="B88" s="225" t="n"/>
      <c r="C88" s="225" t="n"/>
      <c r="D88" s="226" t="n"/>
      <c r="E88" s="225" t="n"/>
      <c r="F88" s="226" t="n"/>
      <c r="G88" s="225" t="n"/>
      <c r="H88" s="225" t="n"/>
      <c r="I88" s="225" t="n"/>
      <c r="J88" s="225" t="n"/>
      <c r="K88" s="225" t="n"/>
      <c r="L88" s="225" t="n"/>
      <c r="M88" s="225" t="n"/>
      <c r="N88" s="15">
        <f>IFERROR(IF(OR(J88="已破獲未移送",J88="已移送"),"是","否"),"")</f>
        <v/>
      </c>
      <c r="O88" s="15">
        <f>IFERROR(IF(D88="","",YEAR(D88)-1911),"")</f>
        <v/>
      </c>
      <c r="P88" s="15">
        <f>IFERROR(INDEX(案類分類清單,MATCH(B88,案類名稱清單,0)),"")</f>
        <v/>
      </c>
      <c r="Q88" s="15">
        <f>IFERROR(INDEX(納入全般清單,MATCH(B88,案類名稱清單,0)),"否")</f>
        <v/>
      </c>
      <c r="R88" s="15">
        <f>IFERROR(O88*10000+IFERROR(MATCH(J88,{"尚未偵破","已破獲未移送","已移送","簽結"},0),0)*100+ROW(),0)</f>
        <v/>
      </c>
      <c r="S88" s="225" t="n"/>
      <c r="T88" s="15">
        <f>IFERROR(IF(S88="","是","否"),"是")</f>
        <v/>
      </c>
      <c r="U88" s="225" t="n"/>
    </row>
    <row r="89" ht="30" customHeight="1">
      <c r="A89" s="225" t="n"/>
      <c r="B89" s="225" t="n"/>
      <c r="C89" s="225" t="n"/>
      <c r="D89" s="226" t="n"/>
      <c r="E89" s="225" t="n"/>
      <c r="F89" s="226" t="n"/>
      <c r="G89" s="225" t="n"/>
      <c r="H89" s="225" t="n"/>
      <c r="I89" s="225" t="n"/>
      <c r="J89" s="225" t="n"/>
      <c r="K89" s="225" t="n"/>
      <c r="L89" s="225" t="n"/>
      <c r="M89" s="225" t="n"/>
      <c r="N89" s="15">
        <f>IFERROR(IF(OR(J89="已破獲未移送",J89="已移送"),"是","否"),"")</f>
        <v/>
      </c>
      <c r="O89" s="15">
        <f>IFERROR(IF(D89="","",YEAR(D89)-1911),"")</f>
        <v/>
      </c>
      <c r="P89" s="15">
        <f>IFERROR(INDEX(案類分類清單,MATCH(B89,案類名稱清單,0)),"")</f>
        <v/>
      </c>
      <c r="Q89" s="15">
        <f>IFERROR(INDEX(納入全般清單,MATCH(B89,案類名稱清單,0)),"否")</f>
        <v/>
      </c>
      <c r="R89" s="15">
        <f>IFERROR(O89*10000+IFERROR(MATCH(J89,{"尚未偵破","已破獲未移送","已移送","簽結"},0),0)*100+ROW(),0)</f>
        <v/>
      </c>
      <c r="S89" s="225" t="n"/>
      <c r="T89" s="15">
        <f>IFERROR(IF(S89="","是","否"),"是")</f>
        <v/>
      </c>
      <c r="U89" s="225" t="n"/>
    </row>
    <row r="90" ht="30" customHeight="1">
      <c r="A90" s="225" t="n"/>
      <c r="B90" s="225" t="n"/>
      <c r="C90" s="225" t="n"/>
      <c r="D90" s="226" t="n"/>
      <c r="E90" s="225" t="n"/>
      <c r="F90" s="226" t="n"/>
      <c r="G90" s="225" t="n"/>
      <c r="H90" s="225" t="n"/>
      <c r="I90" s="225" t="n"/>
      <c r="J90" s="225" t="n"/>
      <c r="K90" s="225" t="n"/>
      <c r="L90" s="225" t="n"/>
      <c r="M90" s="225" t="n"/>
      <c r="N90" s="15">
        <f>IFERROR(IF(OR(J90="已破獲未移送",J90="已移送"),"是","否"),"")</f>
        <v/>
      </c>
      <c r="O90" s="15">
        <f>IFERROR(IF(D90="","",YEAR(D90)-1911),"")</f>
        <v/>
      </c>
      <c r="P90" s="15">
        <f>IFERROR(INDEX(案類分類清單,MATCH(B90,案類名稱清單,0)),"")</f>
        <v/>
      </c>
      <c r="Q90" s="15">
        <f>IFERROR(INDEX(納入全般清單,MATCH(B90,案類名稱清單,0)),"否")</f>
        <v/>
      </c>
      <c r="R90" s="15">
        <f>IFERROR(O90*10000+IFERROR(MATCH(J90,{"尚未偵破","已破獲未移送","已移送","簽結"},0),0)*100+ROW(),0)</f>
        <v/>
      </c>
      <c r="S90" s="225" t="n"/>
      <c r="T90" s="15">
        <f>IFERROR(IF(S90="","是","否"),"是")</f>
        <v/>
      </c>
      <c r="U90" s="225" t="n"/>
    </row>
    <row r="91" ht="30" customHeight="1">
      <c r="A91" s="225" t="n"/>
      <c r="B91" s="225" t="n"/>
      <c r="C91" s="225" t="n"/>
      <c r="D91" s="226" t="n"/>
      <c r="E91" s="225" t="n"/>
      <c r="F91" s="226" t="n"/>
      <c r="G91" s="225" t="n"/>
      <c r="H91" s="225" t="n"/>
      <c r="I91" s="225" t="n"/>
      <c r="J91" s="225" t="n"/>
      <c r="K91" s="225" t="n"/>
      <c r="L91" s="225" t="n"/>
      <c r="M91" s="225" t="n"/>
      <c r="N91" s="15">
        <f>IFERROR(IF(OR(J91="已破獲未移送",J91="已移送"),"是","否"),"")</f>
        <v/>
      </c>
      <c r="O91" s="15">
        <f>IFERROR(IF(D91="","",YEAR(D91)-1911),"")</f>
        <v/>
      </c>
      <c r="P91" s="15">
        <f>IFERROR(INDEX(案類分類清單,MATCH(B91,案類名稱清單,0)),"")</f>
        <v/>
      </c>
      <c r="Q91" s="15">
        <f>IFERROR(INDEX(納入全般清單,MATCH(B91,案類名稱清單,0)),"否")</f>
        <v/>
      </c>
      <c r="R91" s="15">
        <f>IFERROR(O91*10000+IFERROR(MATCH(J91,{"尚未偵破","已破獲未移送","已移送","簽結"},0),0)*100+ROW(),0)</f>
        <v/>
      </c>
      <c r="S91" s="225" t="n"/>
      <c r="T91" s="15">
        <f>IFERROR(IF(S91="","是","否"),"是")</f>
        <v/>
      </c>
      <c r="U91" s="225" t="n"/>
    </row>
    <row r="92" ht="30" customHeight="1">
      <c r="A92" s="225" t="n"/>
      <c r="B92" s="225" t="n"/>
      <c r="C92" s="225" t="n"/>
      <c r="D92" s="226" t="n"/>
      <c r="E92" s="225" t="n"/>
      <c r="F92" s="226" t="n"/>
      <c r="G92" s="225" t="n"/>
      <c r="H92" s="225" t="n"/>
      <c r="I92" s="225" t="n"/>
      <c r="J92" s="225" t="n"/>
      <c r="K92" s="225" t="n"/>
      <c r="L92" s="225" t="n"/>
      <c r="M92" s="225" t="n"/>
      <c r="N92" s="15">
        <f>IFERROR(IF(OR(J92="已破獲未移送",J92="已移送"),"是","否"),"")</f>
        <v/>
      </c>
      <c r="O92" s="15">
        <f>IFERROR(IF(D92="","",YEAR(D92)-1911),"")</f>
        <v/>
      </c>
      <c r="P92" s="15">
        <f>IFERROR(INDEX(案類分類清單,MATCH(B92,案類名稱清單,0)),"")</f>
        <v/>
      </c>
      <c r="Q92" s="15">
        <f>IFERROR(INDEX(納入全般清單,MATCH(B92,案類名稱清單,0)),"否")</f>
        <v/>
      </c>
      <c r="R92" s="15">
        <f>IFERROR(O92*10000+IFERROR(MATCH(J92,{"尚未偵破","已破獲未移送","已移送","簽結"},0),0)*100+ROW(),0)</f>
        <v/>
      </c>
      <c r="S92" s="225" t="n"/>
      <c r="T92" s="15">
        <f>IFERROR(IF(S92="","是","否"),"是")</f>
        <v/>
      </c>
      <c r="U92" s="225" t="n"/>
    </row>
    <row r="93" ht="30" customHeight="1">
      <c r="A93" s="225" t="n"/>
      <c r="B93" s="225" t="n"/>
      <c r="C93" s="225" t="n"/>
      <c r="D93" s="226" t="n"/>
      <c r="E93" s="225" t="n"/>
      <c r="F93" s="226" t="n"/>
      <c r="G93" s="225" t="n"/>
      <c r="H93" s="225" t="n"/>
      <c r="I93" s="225" t="n"/>
      <c r="J93" s="225" t="n"/>
      <c r="K93" s="225" t="n"/>
      <c r="L93" s="225" t="n"/>
      <c r="M93" s="225" t="n"/>
      <c r="N93" s="15">
        <f>IFERROR(IF(OR(J93="已破獲未移送",J93="已移送"),"是","否"),"")</f>
        <v/>
      </c>
      <c r="O93" s="15">
        <f>IFERROR(IF(D93="","",YEAR(D93)-1911),"")</f>
        <v/>
      </c>
      <c r="P93" s="15">
        <f>IFERROR(INDEX(案類分類清單,MATCH(B93,案類名稱清單,0)),"")</f>
        <v/>
      </c>
      <c r="Q93" s="15">
        <f>IFERROR(INDEX(納入全般清單,MATCH(B93,案類名稱清單,0)),"否")</f>
        <v/>
      </c>
      <c r="R93" s="15">
        <f>IFERROR(O93*10000+IFERROR(MATCH(J93,{"尚未偵破","已破獲未移送","已移送","簽結"},0),0)*100+ROW(),0)</f>
        <v/>
      </c>
      <c r="S93" s="225" t="n"/>
      <c r="T93" s="15">
        <f>IFERROR(IF(S93="","是","否"),"是")</f>
        <v/>
      </c>
      <c r="U93" s="225" t="n"/>
    </row>
    <row r="94" ht="30" customHeight="1">
      <c r="A94" s="225" t="n"/>
      <c r="B94" s="225" t="n"/>
      <c r="C94" s="225" t="n"/>
      <c r="D94" s="226" t="n"/>
      <c r="E94" s="225" t="n"/>
      <c r="F94" s="226" t="n"/>
      <c r="G94" s="225" t="n"/>
      <c r="H94" s="225" t="n"/>
      <c r="I94" s="225" t="n"/>
      <c r="J94" s="225" t="n"/>
      <c r="K94" s="225" t="n"/>
      <c r="L94" s="225" t="n"/>
      <c r="M94" s="225" t="n"/>
      <c r="N94" s="15">
        <f>IFERROR(IF(OR(J94="已破獲未移送",J94="已移送"),"是","否"),"")</f>
        <v/>
      </c>
      <c r="O94" s="15">
        <f>IFERROR(IF(D94="","",YEAR(D94)-1911),"")</f>
        <v/>
      </c>
      <c r="P94" s="15">
        <f>IFERROR(INDEX(案類分類清單,MATCH(B94,案類名稱清單,0)),"")</f>
        <v/>
      </c>
      <c r="Q94" s="15">
        <f>IFERROR(INDEX(納入全般清單,MATCH(B94,案類名稱清單,0)),"否")</f>
        <v/>
      </c>
      <c r="R94" s="15">
        <f>IFERROR(O94*10000+IFERROR(MATCH(J94,{"尚未偵破","已破獲未移送","已移送","簽結"},0),0)*100+ROW(),0)</f>
        <v/>
      </c>
      <c r="S94" s="225" t="n"/>
      <c r="T94" s="15">
        <f>IFERROR(IF(S94="","是","否"),"是")</f>
        <v/>
      </c>
      <c r="U94" s="225" t="n"/>
    </row>
    <row r="95" ht="30" customHeight="1">
      <c r="A95" s="225" t="n"/>
      <c r="B95" s="225" t="n"/>
      <c r="C95" s="225" t="n"/>
      <c r="D95" s="226" t="n"/>
      <c r="E95" s="225" t="n"/>
      <c r="F95" s="226" t="n"/>
      <c r="G95" s="225" t="n"/>
      <c r="H95" s="225" t="n"/>
      <c r="I95" s="225" t="n"/>
      <c r="J95" s="225" t="n"/>
      <c r="K95" s="225" t="n"/>
      <c r="L95" s="225" t="n"/>
      <c r="M95" s="225" t="n"/>
      <c r="N95" s="15">
        <f>IFERROR(IF(OR(J95="已破獲未移送",J95="已移送"),"是","否"),"")</f>
        <v/>
      </c>
      <c r="O95" s="15">
        <f>IFERROR(IF(D95="","",YEAR(D95)-1911),"")</f>
        <v/>
      </c>
      <c r="P95" s="15">
        <f>IFERROR(INDEX(案類分類清單,MATCH(B95,案類名稱清單,0)),"")</f>
        <v/>
      </c>
      <c r="Q95" s="15">
        <f>IFERROR(INDEX(納入全般清單,MATCH(B95,案類名稱清單,0)),"否")</f>
        <v/>
      </c>
      <c r="R95" s="15">
        <f>IFERROR(O95*10000+IFERROR(MATCH(J95,{"尚未偵破","已破獲未移送","已移送","簽結"},0),0)*100+ROW(),0)</f>
        <v/>
      </c>
      <c r="S95" s="225" t="n"/>
      <c r="T95" s="15">
        <f>IFERROR(IF(S95="","是","否"),"是")</f>
        <v/>
      </c>
      <c r="U95" s="225" t="n"/>
    </row>
    <row r="96" ht="30" customHeight="1">
      <c r="A96" s="225" t="n"/>
      <c r="B96" s="225" t="n"/>
      <c r="C96" s="225" t="n"/>
      <c r="D96" s="226" t="n"/>
      <c r="E96" s="225" t="n"/>
      <c r="F96" s="226" t="n"/>
      <c r="G96" s="225" t="n"/>
      <c r="H96" s="225" t="n"/>
      <c r="I96" s="225" t="n"/>
      <c r="J96" s="225" t="n"/>
      <c r="K96" s="225" t="n"/>
      <c r="L96" s="225" t="n"/>
      <c r="M96" s="225" t="n"/>
      <c r="N96" s="15">
        <f>IFERROR(IF(OR(J96="已破獲未移送",J96="已移送"),"是","否"),"")</f>
        <v/>
      </c>
      <c r="O96" s="15">
        <f>IFERROR(IF(D96="","",YEAR(D96)-1911),"")</f>
        <v/>
      </c>
      <c r="P96" s="15">
        <f>IFERROR(INDEX(案類分類清單,MATCH(B96,案類名稱清單,0)),"")</f>
        <v/>
      </c>
      <c r="Q96" s="15">
        <f>IFERROR(INDEX(納入全般清單,MATCH(B96,案類名稱清單,0)),"否")</f>
        <v/>
      </c>
      <c r="R96" s="15">
        <f>IFERROR(O96*10000+IFERROR(MATCH(J96,{"尚未偵破","已破獲未移送","已移送","簽結"},0),0)*100+ROW(),0)</f>
        <v/>
      </c>
      <c r="S96" s="225" t="n"/>
      <c r="T96" s="15">
        <f>IFERROR(IF(S96="","是","否"),"是")</f>
        <v/>
      </c>
      <c r="U96" s="225" t="n"/>
    </row>
    <row r="97" ht="30" customHeight="1">
      <c r="A97" s="225" t="n"/>
      <c r="B97" s="225" t="n"/>
      <c r="C97" s="225" t="n"/>
      <c r="D97" s="226" t="n"/>
      <c r="E97" s="225" t="n"/>
      <c r="F97" s="226" t="n"/>
      <c r="G97" s="225" t="n"/>
      <c r="H97" s="225" t="n"/>
      <c r="I97" s="225" t="n"/>
      <c r="J97" s="225" t="n"/>
      <c r="K97" s="225" t="n"/>
      <c r="L97" s="225" t="n"/>
      <c r="M97" s="225" t="n"/>
      <c r="N97" s="15">
        <f>IFERROR(IF(OR(J97="已破獲未移送",J97="已移送"),"是","否"),"")</f>
        <v/>
      </c>
      <c r="O97" s="15">
        <f>IFERROR(IF(D97="","",YEAR(D97)-1911),"")</f>
        <v/>
      </c>
      <c r="P97" s="15">
        <f>IFERROR(INDEX(案類分類清單,MATCH(B97,案類名稱清單,0)),"")</f>
        <v/>
      </c>
      <c r="Q97" s="15">
        <f>IFERROR(INDEX(納入全般清單,MATCH(B97,案類名稱清單,0)),"否")</f>
        <v/>
      </c>
      <c r="R97" s="15">
        <f>IFERROR(O97*10000+IFERROR(MATCH(J97,{"尚未偵破","已破獲未移送","已移送","簽結"},0),0)*100+ROW(),0)</f>
        <v/>
      </c>
      <c r="S97" s="225" t="n"/>
      <c r="T97" s="15">
        <f>IFERROR(IF(S97="","是","否"),"是")</f>
        <v/>
      </c>
      <c r="U97" s="225" t="n"/>
    </row>
    <row r="98" ht="30" customHeight="1">
      <c r="A98" s="225" t="n"/>
      <c r="B98" s="225" t="n"/>
      <c r="C98" s="225" t="n"/>
      <c r="D98" s="226" t="n"/>
      <c r="E98" s="225" t="n"/>
      <c r="F98" s="226" t="n"/>
      <c r="G98" s="225" t="n"/>
      <c r="H98" s="225" t="n"/>
      <c r="I98" s="225" t="n"/>
      <c r="J98" s="225" t="n"/>
      <c r="K98" s="225" t="n"/>
      <c r="L98" s="225" t="n"/>
      <c r="M98" s="225" t="n"/>
      <c r="N98" s="15">
        <f>IFERROR(IF(OR(J98="已破獲未移送",J98="已移送"),"是","否"),"")</f>
        <v/>
      </c>
      <c r="O98" s="15">
        <f>IFERROR(IF(D98="","",YEAR(D98)-1911),"")</f>
        <v/>
      </c>
      <c r="P98" s="15">
        <f>IFERROR(INDEX(案類分類清單,MATCH(B98,案類名稱清單,0)),"")</f>
        <v/>
      </c>
      <c r="Q98" s="15">
        <f>IFERROR(INDEX(納入全般清單,MATCH(B98,案類名稱清單,0)),"否")</f>
        <v/>
      </c>
      <c r="R98" s="15">
        <f>IFERROR(O98*10000+IFERROR(MATCH(J98,{"尚未偵破","已破獲未移送","已移送","簽結"},0),0)*100+ROW(),0)</f>
        <v/>
      </c>
      <c r="S98" s="225" t="n"/>
      <c r="T98" s="15">
        <f>IFERROR(IF(S98="","是","否"),"是")</f>
        <v/>
      </c>
      <c r="U98" s="225" t="n"/>
    </row>
    <row r="99" ht="30" customHeight="1">
      <c r="A99" s="225" t="n"/>
      <c r="B99" s="225" t="n"/>
      <c r="C99" s="225" t="n"/>
      <c r="D99" s="226" t="n"/>
      <c r="E99" s="225" t="n"/>
      <c r="F99" s="226" t="n"/>
      <c r="G99" s="225" t="n"/>
      <c r="H99" s="225" t="n"/>
      <c r="I99" s="225" t="n"/>
      <c r="J99" s="225" t="n"/>
      <c r="K99" s="225" t="n"/>
      <c r="L99" s="225" t="n"/>
      <c r="M99" s="225" t="n"/>
      <c r="N99" s="15">
        <f>IFERROR(IF(OR(J99="已破獲未移送",J99="已移送"),"是","否"),"")</f>
        <v/>
      </c>
      <c r="O99" s="15">
        <f>IFERROR(IF(D99="","",YEAR(D99)-1911),"")</f>
        <v/>
      </c>
      <c r="P99" s="15">
        <f>IFERROR(INDEX(案類分類清單,MATCH(B99,案類名稱清單,0)),"")</f>
        <v/>
      </c>
      <c r="Q99" s="15">
        <f>IFERROR(INDEX(納入全般清單,MATCH(B99,案類名稱清單,0)),"否")</f>
        <v/>
      </c>
      <c r="R99" s="15">
        <f>IFERROR(O99*10000+IFERROR(MATCH(J99,{"尚未偵破","已破獲未移送","已移送","簽結"},0),0)*100+ROW(),0)</f>
        <v/>
      </c>
      <c r="S99" s="225" t="n"/>
      <c r="T99" s="15">
        <f>IFERROR(IF(S99="","是","否"),"是")</f>
        <v/>
      </c>
      <c r="U99" s="225" t="n"/>
    </row>
    <row r="100" ht="30" customHeight="1">
      <c r="A100" s="225" t="n"/>
      <c r="B100" s="225" t="n"/>
      <c r="C100" s="225" t="n"/>
      <c r="D100" s="226" t="n"/>
      <c r="E100" s="225" t="n"/>
      <c r="F100" s="226" t="n"/>
      <c r="G100" s="225" t="n"/>
      <c r="H100" s="225" t="n"/>
      <c r="I100" s="225" t="n"/>
      <c r="J100" s="225" t="n"/>
      <c r="K100" s="225" t="n"/>
      <c r="L100" s="225" t="n"/>
      <c r="M100" s="225" t="n"/>
      <c r="N100" s="15">
        <f>IFERROR(IF(OR(J100="已破獲未移送",J100="已移送"),"是","否"),"")</f>
        <v/>
      </c>
      <c r="O100" s="15">
        <f>IFERROR(IF(D100="","",YEAR(D100)-1911),"")</f>
        <v/>
      </c>
      <c r="P100" s="15">
        <f>IFERROR(INDEX(案類分類清單,MATCH(B100,案類名稱清單,0)),"")</f>
        <v/>
      </c>
      <c r="Q100" s="15">
        <f>IFERROR(INDEX(納入全般清單,MATCH(B100,案類名稱清單,0)),"否")</f>
        <v/>
      </c>
      <c r="R100" s="15">
        <f>IFERROR(O100*10000+IFERROR(MATCH(J100,{"尚未偵破","已破獲未移送","已移送","簽結"},0),0)*100+ROW(),0)</f>
        <v/>
      </c>
      <c r="S100" s="225" t="n"/>
      <c r="T100" s="15">
        <f>IFERROR(IF(S100="","是","否"),"是")</f>
        <v/>
      </c>
      <c r="U100" s="225" t="n"/>
    </row>
    <row r="101" ht="30" customHeight="1">
      <c r="A101" s="225" t="n"/>
      <c r="B101" s="225" t="n"/>
      <c r="C101" s="225" t="n"/>
      <c r="D101" s="226" t="n"/>
      <c r="E101" s="225" t="n"/>
      <c r="F101" s="226" t="n"/>
      <c r="G101" s="225" t="n"/>
      <c r="H101" s="225" t="n"/>
      <c r="I101" s="225" t="n"/>
      <c r="J101" s="225" t="n"/>
      <c r="K101" s="225" t="n"/>
      <c r="L101" s="225" t="n"/>
      <c r="M101" s="225" t="n"/>
      <c r="N101" s="15">
        <f>IFERROR(IF(OR(J101="已破獲未移送",J101="已移送"),"是","否"),"")</f>
        <v/>
      </c>
      <c r="O101" s="15">
        <f>IFERROR(IF(D101="","",YEAR(D101)-1911),"")</f>
        <v/>
      </c>
      <c r="P101" s="15">
        <f>IFERROR(INDEX(案類分類清單,MATCH(B101,案類名稱清單,0)),"")</f>
        <v/>
      </c>
      <c r="Q101" s="15">
        <f>IFERROR(INDEX(納入全般清單,MATCH(B101,案類名稱清單,0)),"否")</f>
        <v/>
      </c>
      <c r="R101" s="15">
        <f>IFERROR(O101*10000+IFERROR(MATCH(J101,{"尚未偵破","已破獲未移送","已移送","簽結"},0),0)*100+ROW(),0)</f>
        <v/>
      </c>
      <c r="S101" s="225" t="n"/>
      <c r="T101" s="15">
        <f>IFERROR(IF(S101="","是","否"),"是")</f>
        <v/>
      </c>
      <c r="U101" s="225" t="n"/>
    </row>
    <row r="102" ht="30" customHeight="1">
      <c r="A102" s="225" t="n"/>
      <c r="B102" s="225" t="n"/>
      <c r="C102" s="225" t="n"/>
      <c r="D102" s="226" t="n"/>
      <c r="E102" s="225" t="n"/>
      <c r="F102" s="226" t="n"/>
      <c r="G102" s="225" t="n"/>
      <c r="H102" s="225" t="n"/>
      <c r="I102" s="225" t="n"/>
      <c r="J102" s="225" t="n"/>
      <c r="K102" s="225" t="n"/>
      <c r="L102" s="225" t="n"/>
      <c r="M102" s="225" t="n"/>
      <c r="N102" s="15">
        <f>IFERROR(IF(OR(J102="已破獲未移送",J102="已移送"),"是","否"),"")</f>
        <v/>
      </c>
      <c r="O102" s="15">
        <f>IFERROR(IF(D102="","",YEAR(D102)-1911),"")</f>
        <v/>
      </c>
      <c r="P102" s="15">
        <f>IFERROR(INDEX(案類分類清單,MATCH(B102,案類名稱清單,0)),"")</f>
        <v/>
      </c>
      <c r="Q102" s="15">
        <f>IFERROR(INDEX(納入全般清單,MATCH(B102,案類名稱清單,0)),"否")</f>
        <v/>
      </c>
      <c r="R102" s="15">
        <f>IFERROR(O102*10000+IFERROR(MATCH(J102,{"尚未偵破","已破獲未移送","已移送","簽結"},0),0)*100+ROW(),0)</f>
        <v/>
      </c>
      <c r="S102" s="225" t="n"/>
      <c r="T102" s="15">
        <f>IFERROR(IF(S102="","是","否"),"是")</f>
        <v/>
      </c>
      <c r="U102" s="225" t="n"/>
    </row>
    <row r="103" ht="30" customHeight="1">
      <c r="A103" s="225" t="n"/>
      <c r="B103" s="225" t="n"/>
      <c r="C103" s="225" t="n"/>
      <c r="D103" s="226" t="n"/>
      <c r="E103" s="225" t="n"/>
      <c r="F103" s="226" t="n"/>
      <c r="G103" s="225" t="n"/>
      <c r="H103" s="225" t="n"/>
      <c r="I103" s="225" t="n"/>
      <c r="J103" s="225" t="n"/>
      <c r="K103" s="225" t="n"/>
      <c r="L103" s="225" t="n"/>
      <c r="M103" s="225" t="n"/>
      <c r="N103" s="15">
        <f>IFERROR(IF(OR(J103="已破獲未移送",J103="已移送"),"是","否"),"")</f>
        <v/>
      </c>
      <c r="O103" s="15">
        <f>IFERROR(IF(D103="","",YEAR(D103)-1911),"")</f>
        <v/>
      </c>
      <c r="P103" s="15">
        <f>IFERROR(INDEX(案類分類清單,MATCH(B103,案類名稱清單,0)),"")</f>
        <v/>
      </c>
      <c r="Q103" s="15">
        <f>IFERROR(INDEX(納入全般清單,MATCH(B103,案類名稱清單,0)),"否")</f>
        <v/>
      </c>
      <c r="R103" s="15">
        <f>IFERROR(O103*10000+IFERROR(MATCH(J103,{"尚未偵破","已破獲未移送","已移送","簽結"},0),0)*100+ROW(),0)</f>
        <v/>
      </c>
      <c r="S103" s="225" t="n"/>
      <c r="T103" s="15">
        <f>IFERROR(IF(S103="","是","否"),"是")</f>
        <v/>
      </c>
      <c r="U103" s="225" t="n"/>
    </row>
    <row r="104" ht="30" customHeight="1">
      <c r="A104" s="225" t="n"/>
      <c r="B104" s="225" t="n"/>
      <c r="C104" s="225" t="n"/>
      <c r="D104" s="226" t="n"/>
      <c r="E104" s="225" t="n"/>
      <c r="F104" s="226" t="n"/>
      <c r="G104" s="225" t="n"/>
      <c r="H104" s="225" t="n"/>
      <c r="I104" s="225" t="n"/>
      <c r="J104" s="225" t="n"/>
      <c r="K104" s="225" t="n"/>
      <c r="L104" s="225" t="n"/>
      <c r="M104" s="225" t="n"/>
      <c r="N104" s="15">
        <f>IFERROR(IF(OR(J104="已破獲未移送",J104="已移送"),"是","否"),"")</f>
        <v/>
      </c>
      <c r="O104" s="15">
        <f>IFERROR(IF(D104="","",YEAR(D104)-1911),"")</f>
        <v/>
      </c>
      <c r="P104" s="15">
        <f>IFERROR(INDEX(案類分類清單,MATCH(B104,案類名稱清單,0)),"")</f>
        <v/>
      </c>
      <c r="Q104" s="15">
        <f>IFERROR(INDEX(納入全般清單,MATCH(B104,案類名稱清單,0)),"否")</f>
        <v/>
      </c>
      <c r="R104" s="15">
        <f>IFERROR(O104*10000+IFERROR(MATCH(J104,{"尚未偵破","已破獲未移送","已移送","簽結"},0),0)*100+ROW(),0)</f>
        <v/>
      </c>
      <c r="S104" s="225" t="n"/>
      <c r="T104" s="15">
        <f>IFERROR(IF(S104="","是","否"),"是")</f>
        <v/>
      </c>
      <c r="U104" s="225" t="n"/>
    </row>
    <row r="105" ht="30" customHeight="1">
      <c r="A105" s="225" t="n"/>
      <c r="B105" s="225" t="n"/>
      <c r="C105" s="225" t="n"/>
      <c r="D105" s="226" t="n"/>
      <c r="E105" s="225" t="n"/>
      <c r="F105" s="226" t="n"/>
      <c r="G105" s="225" t="n"/>
      <c r="H105" s="225" t="n"/>
      <c r="I105" s="225" t="n"/>
      <c r="J105" s="225" t="n"/>
      <c r="K105" s="225" t="n"/>
      <c r="L105" s="225" t="n"/>
      <c r="M105" s="225" t="n"/>
      <c r="N105" s="15">
        <f>IFERROR(IF(OR(J105="已破獲未移送",J105="已移送"),"是","否"),"")</f>
        <v/>
      </c>
      <c r="O105" s="15">
        <f>IFERROR(IF(D105="","",YEAR(D105)-1911),"")</f>
        <v/>
      </c>
      <c r="P105" s="15">
        <f>IFERROR(INDEX(案類分類清單,MATCH(B105,案類名稱清單,0)),"")</f>
        <v/>
      </c>
      <c r="Q105" s="15">
        <f>IFERROR(INDEX(納入全般清單,MATCH(B105,案類名稱清單,0)),"否")</f>
        <v/>
      </c>
      <c r="R105" s="15">
        <f>IFERROR(O105*10000+IFERROR(MATCH(J105,{"尚未偵破","已破獲未移送","已移送","簽結"},0),0)*100+ROW(),0)</f>
        <v/>
      </c>
      <c r="S105" s="225" t="n"/>
      <c r="T105" s="15">
        <f>IFERROR(IF(S105="","是","否"),"是")</f>
        <v/>
      </c>
      <c r="U105" s="225" t="n"/>
    </row>
    <row r="106" ht="30" customHeight="1">
      <c r="A106" s="225" t="n"/>
      <c r="B106" s="225" t="n"/>
      <c r="C106" s="225" t="n"/>
      <c r="D106" s="226" t="n"/>
      <c r="E106" s="225" t="n"/>
      <c r="F106" s="226" t="n"/>
      <c r="G106" s="225" t="n"/>
      <c r="H106" s="225" t="n"/>
      <c r="I106" s="225" t="n"/>
      <c r="J106" s="225" t="n"/>
      <c r="K106" s="225" t="n"/>
      <c r="L106" s="225" t="n"/>
      <c r="M106" s="225" t="n"/>
      <c r="N106" s="15">
        <f>IFERROR(IF(OR(J106="已破獲未移送",J106="已移送"),"是","否"),"")</f>
        <v/>
      </c>
      <c r="O106" s="15">
        <f>IFERROR(IF(D106="","",YEAR(D106)-1911),"")</f>
        <v/>
      </c>
      <c r="P106" s="15">
        <f>IFERROR(INDEX(案類分類清單,MATCH(B106,案類名稱清單,0)),"")</f>
        <v/>
      </c>
      <c r="Q106" s="15">
        <f>IFERROR(INDEX(納入全般清單,MATCH(B106,案類名稱清單,0)),"否")</f>
        <v/>
      </c>
      <c r="R106" s="15">
        <f>IFERROR(O106*10000+IFERROR(MATCH(J106,{"尚未偵破","已破獲未移送","已移送","簽結"},0),0)*100+ROW(),0)</f>
        <v/>
      </c>
      <c r="S106" s="225" t="n"/>
      <c r="T106" s="15">
        <f>IFERROR(IF(S106="","是","否"),"是")</f>
        <v/>
      </c>
      <c r="U106" s="225" t="n"/>
    </row>
    <row r="107" ht="30" customHeight="1">
      <c r="A107" s="225" t="n"/>
      <c r="B107" s="225" t="n"/>
      <c r="C107" s="225" t="n"/>
      <c r="D107" s="226" t="n"/>
      <c r="E107" s="225" t="n"/>
      <c r="F107" s="226" t="n"/>
      <c r="G107" s="225" t="n"/>
      <c r="H107" s="225" t="n"/>
      <c r="I107" s="225" t="n"/>
      <c r="J107" s="225" t="n"/>
      <c r="K107" s="225" t="n"/>
      <c r="L107" s="225" t="n"/>
      <c r="M107" s="225" t="n"/>
      <c r="N107" s="15">
        <f>IFERROR(IF(OR(J107="已破獲未移送",J107="已移送"),"是","否"),"")</f>
        <v/>
      </c>
      <c r="O107" s="15">
        <f>IFERROR(IF(D107="","",YEAR(D107)-1911),"")</f>
        <v/>
      </c>
      <c r="P107" s="15">
        <f>IFERROR(INDEX(案類分類清單,MATCH(B107,案類名稱清單,0)),"")</f>
        <v/>
      </c>
      <c r="Q107" s="15">
        <f>IFERROR(INDEX(納入全般清單,MATCH(B107,案類名稱清單,0)),"否")</f>
        <v/>
      </c>
      <c r="R107" s="15">
        <f>IFERROR(O107*10000+IFERROR(MATCH(J107,{"尚未偵破","已破獲未移送","已移送","簽結"},0),0)*100+ROW(),0)</f>
        <v/>
      </c>
      <c r="S107" s="225" t="n"/>
      <c r="T107" s="15">
        <f>IFERROR(IF(S107="","是","否"),"是")</f>
        <v/>
      </c>
      <c r="U107" s="225" t="n"/>
    </row>
    <row r="108" ht="30" customHeight="1">
      <c r="A108" s="225" t="n"/>
      <c r="B108" s="225" t="n"/>
      <c r="C108" s="225" t="n"/>
      <c r="D108" s="226" t="n"/>
      <c r="E108" s="225" t="n"/>
      <c r="F108" s="226" t="n"/>
      <c r="G108" s="225" t="n"/>
      <c r="H108" s="225" t="n"/>
      <c r="I108" s="225" t="n"/>
      <c r="J108" s="225" t="n"/>
      <c r="K108" s="225" t="n"/>
      <c r="L108" s="225" t="n"/>
      <c r="M108" s="225" t="n"/>
      <c r="N108" s="15">
        <f>IFERROR(IF(OR(J108="已破獲未移送",J108="已移送"),"是","否"),"")</f>
        <v/>
      </c>
      <c r="O108" s="15">
        <f>IFERROR(IF(D108="","",YEAR(D108)-1911),"")</f>
        <v/>
      </c>
      <c r="P108" s="15">
        <f>IFERROR(INDEX(案類分類清單,MATCH(B108,案類名稱清單,0)),"")</f>
        <v/>
      </c>
      <c r="Q108" s="15">
        <f>IFERROR(INDEX(納入全般清單,MATCH(B108,案類名稱清單,0)),"否")</f>
        <v/>
      </c>
      <c r="R108" s="15">
        <f>IFERROR(O108*10000+IFERROR(MATCH(J108,{"尚未偵破","已破獲未移送","已移送","簽結"},0),0)*100+ROW(),0)</f>
        <v/>
      </c>
      <c r="S108" s="225" t="n"/>
      <c r="T108" s="15">
        <f>IFERROR(IF(S108="","是","否"),"是")</f>
        <v/>
      </c>
      <c r="U108" s="225" t="n"/>
    </row>
    <row r="109" ht="30" customHeight="1">
      <c r="A109" s="225" t="n"/>
      <c r="B109" s="225" t="n"/>
      <c r="C109" s="225" t="n"/>
      <c r="D109" s="226" t="n"/>
      <c r="E109" s="225" t="n"/>
      <c r="F109" s="226" t="n"/>
      <c r="G109" s="225" t="n"/>
      <c r="H109" s="225" t="n"/>
      <c r="I109" s="225" t="n"/>
      <c r="J109" s="225" t="n"/>
      <c r="K109" s="225" t="n"/>
      <c r="L109" s="225" t="n"/>
      <c r="M109" s="225" t="n"/>
      <c r="N109" s="15">
        <f>IFERROR(IF(OR(J109="已破獲未移送",J109="已移送"),"是","否"),"")</f>
        <v/>
      </c>
      <c r="O109" s="15">
        <f>IFERROR(IF(D109="","",YEAR(D109)-1911),"")</f>
        <v/>
      </c>
      <c r="P109" s="15">
        <f>IFERROR(INDEX(案類分類清單,MATCH(B109,案類名稱清單,0)),"")</f>
        <v/>
      </c>
      <c r="Q109" s="15">
        <f>IFERROR(INDEX(納入全般清單,MATCH(B109,案類名稱清單,0)),"否")</f>
        <v/>
      </c>
      <c r="R109" s="15">
        <f>IFERROR(O109*10000+IFERROR(MATCH(J109,{"尚未偵破","已破獲未移送","已移送","簽結"},0),0)*100+ROW(),0)</f>
        <v/>
      </c>
      <c r="S109" s="225" t="n"/>
      <c r="T109" s="15">
        <f>IFERROR(IF(S109="","是","否"),"是")</f>
        <v/>
      </c>
      <c r="U109" s="225" t="n"/>
    </row>
    <row r="110" ht="30" customHeight="1">
      <c r="A110" s="225" t="n"/>
      <c r="B110" s="225" t="n"/>
      <c r="C110" s="225" t="n"/>
      <c r="D110" s="226" t="n"/>
      <c r="E110" s="225" t="n"/>
      <c r="F110" s="226" t="n"/>
      <c r="G110" s="225" t="n"/>
      <c r="H110" s="225" t="n"/>
      <c r="I110" s="225" t="n"/>
      <c r="J110" s="225" t="n"/>
      <c r="K110" s="225" t="n"/>
      <c r="L110" s="225" t="n"/>
      <c r="M110" s="225" t="n"/>
      <c r="N110" s="15">
        <f>IFERROR(IF(OR(J110="已破獲未移送",J110="已移送"),"是","否"),"")</f>
        <v/>
      </c>
      <c r="O110" s="15">
        <f>IFERROR(IF(D110="","",YEAR(D110)-1911),"")</f>
        <v/>
      </c>
      <c r="P110" s="15">
        <f>IFERROR(INDEX(案類分類清單,MATCH(B110,案類名稱清單,0)),"")</f>
        <v/>
      </c>
      <c r="Q110" s="15">
        <f>IFERROR(INDEX(納入全般清單,MATCH(B110,案類名稱清單,0)),"否")</f>
        <v/>
      </c>
      <c r="R110" s="15">
        <f>IFERROR(O110*10000+IFERROR(MATCH(J110,{"尚未偵破","已破獲未移送","已移送","簽結"},0),0)*100+ROW(),0)</f>
        <v/>
      </c>
      <c r="S110" s="225" t="n"/>
      <c r="T110" s="15">
        <f>IFERROR(IF(S110="","是","否"),"是")</f>
        <v/>
      </c>
      <c r="U110" s="225" t="n"/>
    </row>
    <row r="111" ht="30" customHeight="1">
      <c r="A111" s="225" t="n"/>
      <c r="B111" s="225" t="n"/>
      <c r="C111" s="225" t="n"/>
      <c r="D111" s="226" t="n"/>
      <c r="E111" s="225" t="n"/>
      <c r="F111" s="226" t="n"/>
      <c r="G111" s="225" t="n"/>
      <c r="H111" s="225" t="n"/>
      <c r="I111" s="225" t="n"/>
      <c r="J111" s="225" t="n"/>
      <c r="K111" s="225" t="n"/>
      <c r="L111" s="225" t="n"/>
      <c r="M111" s="225" t="n"/>
      <c r="N111" s="15">
        <f>IFERROR(IF(OR(J111="已破獲未移送",J111="已移送"),"是","否"),"")</f>
        <v/>
      </c>
      <c r="O111" s="15">
        <f>IFERROR(IF(D111="","",YEAR(D111)-1911),"")</f>
        <v/>
      </c>
      <c r="P111" s="15">
        <f>IFERROR(INDEX(案類分類清單,MATCH(B111,案類名稱清單,0)),"")</f>
        <v/>
      </c>
      <c r="Q111" s="15">
        <f>IFERROR(INDEX(納入全般清單,MATCH(B111,案類名稱清單,0)),"否")</f>
        <v/>
      </c>
      <c r="R111" s="15">
        <f>IFERROR(O111*10000+IFERROR(MATCH(J111,{"尚未偵破","已破獲未移送","已移送","簽結"},0),0)*100+ROW(),0)</f>
        <v/>
      </c>
      <c r="S111" s="225" t="n"/>
      <c r="T111" s="15">
        <f>IFERROR(IF(S111="","是","否"),"是")</f>
        <v/>
      </c>
      <c r="U111" s="225" t="n"/>
    </row>
    <row r="112" ht="30" customHeight="1">
      <c r="A112" s="225" t="n"/>
      <c r="B112" s="225" t="n"/>
      <c r="C112" s="225" t="n"/>
      <c r="D112" s="226" t="n"/>
      <c r="E112" s="225" t="n"/>
      <c r="F112" s="226" t="n"/>
      <c r="G112" s="225" t="n"/>
      <c r="H112" s="225" t="n"/>
      <c r="I112" s="225" t="n"/>
      <c r="J112" s="225" t="n"/>
      <c r="K112" s="225" t="n"/>
      <c r="L112" s="225" t="n"/>
      <c r="M112" s="225" t="n"/>
      <c r="N112" s="15">
        <f>IFERROR(IF(OR(J112="已破獲未移送",J112="已移送"),"是","否"),"")</f>
        <v/>
      </c>
      <c r="O112" s="15">
        <f>IFERROR(IF(D112="","",YEAR(D112)-1911),"")</f>
        <v/>
      </c>
      <c r="P112" s="15">
        <f>IFERROR(INDEX(案類分類清單,MATCH(B112,案類名稱清單,0)),"")</f>
        <v/>
      </c>
      <c r="Q112" s="15">
        <f>IFERROR(INDEX(納入全般清單,MATCH(B112,案類名稱清單,0)),"否")</f>
        <v/>
      </c>
      <c r="R112" s="15">
        <f>IFERROR(O112*10000+IFERROR(MATCH(J112,{"尚未偵破","已破獲未移送","已移送","簽結"},0),0)*100+ROW(),0)</f>
        <v/>
      </c>
      <c r="S112" s="225" t="n"/>
      <c r="T112" s="15">
        <f>IFERROR(IF(S112="","是","否"),"是")</f>
        <v/>
      </c>
      <c r="U112" s="225" t="n"/>
    </row>
    <row r="113" ht="30" customHeight="1">
      <c r="A113" s="225" t="n"/>
      <c r="B113" s="225" t="n"/>
      <c r="C113" s="225" t="n"/>
      <c r="D113" s="226" t="n"/>
      <c r="E113" s="225" t="n"/>
      <c r="F113" s="226" t="n"/>
      <c r="G113" s="225" t="n"/>
      <c r="H113" s="225" t="n"/>
      <c r="I113" s="225" t="n"/>
      <c r="J113" s="225" t="n"/>
      <c r="K113" s="225" t="n"/>
      <c r="L113" s="225" t="n"/>
      <c r="M113" s="225" t="n"/>
      <c r="N113" s="15">
        <f>IFERROR(IF(OR(J113="已破獲未移送",J113="已移送"),"是","否"),"")</f>
        <v/>
      </c>
      <c r="O113" s="15">
        <f>IFERROR(IF(D113="","",YEAR(D113)-1911),"")</f>
        <v/>
      </c>
      <c r="P113" s="15">
        <f>IFERROR(INDEX(案類分類清單,MATCH(B113,案類名稱清單,0)),"")</f>
        <v/>
      </c>
      <c r="Q113" s="15">
        <f>IFERROR(INDEX(納入全般清單,MATCH(B113,案類名稱清單,0)),"否")</f>
        <v/>
      </c>
      <c r="R113" s="15">
        <f>IFERROR(O113*10000+IFERROR(MATCH(J113,{"尚未偵破","已破獲未移送","已移送","簽結"},0),0)*100+ROW(),0)</f>
        <v/>
      </c>
      <c r="S113" s="225" t="n"/>
      <c r="T113" s="15">
        <f>IFERROR(IF(S113="","是","否"),"是")</f>
        <v/>
      </c>
      <c r="U113" s="225" t="n"/>
    </row>
    <row r="114" ht="30" customHeight="1">
      <c r="A114" s="225" t="n"/>
      <c r="B114" s="225" t="n"/>
      <c r="C114" s="225" t="n"/>
      <c r="D114" s="226" t="n"/>
      <c r="E114" s="225" t="n"/>
      <c r="F114" s="226" t="n"/>
      <c r="G114" s="225" t="n"/>
      <c r="H114" s="225" t="n"/>
      <c r="I114" s="225" t="n"/>
      <c r="J114" s="225" t="n"/>
      <c r="K114" s="225" t="n"/>
      <c r="L114" s="225" t="n"/>
      <c r="M114" s="225" t="n"/>
      <c r="N114" s="15">
        <f>IFERROR(IF(OR(J114="已破獲未移送",J114="已移送"),"是","否"),"")</f>
        <v/>
      </c>
      <c r="O114" s="15">
        <f>IFERROR(IF(D114="","",YEAR(D114)-1911),"")</f>
        <v/>
      </c>
      <c r="P114" s="15">
        <f>IFERROR(INDEX(案類分類清單,MATCH(B114,案類名稱清單,0)),"")</f>
        <v/>
      </c>
      <c r="Q114" s="15">
        <f>IFERROR(INDEX(納入全般清單,MATCH(B114,案類名稱清單,0)),"否")</f>
        <v/>
      </c>
      <c r="R114" s="15">
        <f>IFERROR(O114*10000+IFERROR(MATCH(J114,{"尚未偵破","已破獲未移送","已移送","簽結"},0),0)*100+ROW(),0)</f>
        <v/>
      </c>
      <c r="S114" s="225" t="n"/>
      <c r="T114" s="15">
        <f>IFERROR(IF(S114="","是","否"),"是")</f>
        <v/>
      </c>
      <c r="U114" s="225" t="n"/>
    </row>
    <row r="115" ht="30" customHeight="1">
      <c r="A115" s="225" t="n"/>
      <c r="B115" s="225" t="n"/>
      <c r="C115" s="225" t="n"/>
      <c r="D115" s="226" t="n"/>
      <c r="E115" s="225" t="n"/>
      <c r="F115" s="226" t="n"/>
      <c r="G115" s="225" t="n"/>
      <c r="H115" s="225" t="n"/>
      <c r="I115" s="225" t="n"/>
      <c r="J115" s="225" t="n"/>
      <c r="K115" s="225" t="n"/>
      <c r="L115" s="225" t="n"/>
      <c r="M115" s="225" t="n"/>
      <c r="N115" s="15">
        <f>IFERROR(IF(OR(J115="已破獲未移送",J115="已移送"),"是","否"),"")</f>
        <v/>
      </c>
      <c r="O115" s="15">
        <f>IFERROR(IF(D115="","",YEAR(D115)-1911),"")</f>
        <v/>
      </c>
      <c r="P115" s="15">
        <f>IFERROR(INDEX(案類分類清單,MATCH(B115,案類名稱清單,0)),"")</f>
        <v/>
      </c>
      <c r="Q115" s="15">
        <f>IFERROR(INDEX(納入全般清單,MATCH(B115,案類名稱清單,0)),"否")</f>
        <v/>
      </c>
      <c r="R115" s="15">
        <f>IFERROR(O115*10000+IFERROR(MATCH(J115,{"尚未偵破","已破獲未移送","已移送","簽結"},0),0)*100+ROW(),0)</f>
        <v/>
      </c>
      <c r="S115" s="225" t="n"/>
      <c r="T115" s="15">
        <f>IFERROR(IF(S115="","是","否"),"是")</f>
        <v/>
      </c>
      <c r="U115" s="225" t="n"/>
    </row>
    <row r="116" ht="30" customHeight="1">
      <c r="A116" s="225" t="n"/>
      <c r="B116" s="225" t="n"/>
      <c r="C116" s="225" t="n"/>
      <c r="D116" s="226" t="n"/>
      <c r="E116" s="225" t="n"/>
      <c r="F116" s="226" t="n"/>
      <c r="G116" s="225" t="n"/>
      <c r="H116" s="225" t="n"/>
      <c r="I116" s="225" t="n"/>
      <c r="J116" s="225" t="n"/>
      <c r="K116" s="225" t="n"/>
      <c r="L116" s="225" t="n"/>
      <c r="M116" s="225" t="n"/>
      <c r="N116" s="15">
        <f>IFERROR(IF(OR(J116="已破獲未移送",J116="已移送"),"是","否"),"")</f>
        <v/>
      </c>
      <c r="O116" s="15">
        <f>IFERROR(IF(D116="","",YEAR(D116)-1911),"")</f>
        <v/>
      </c>
      <c r="P116" s="15">
        <f>IFERROR(INDEX(案類分類清單,MATCH(B116,案類名稱清單,0)),"")</f>
        <v/>
      </c>
      <c r="Q116" s="15">
        <f>IFERROR(INDEX(納入全般清單,MATCH(B116,案類名稱清單,0)),"否")</f>
        <v/>
      </c>
      <c r="R116" s="15">
        <f>IFERROR(O116*10000+IFERROR(MATCH(J116,{"尚未偵破","已破獲未移送","已移送","簽結"},0),0)*100+ROW(),0)</f>
        <v/>
      </c>
      <c r="S116" s="225" t="n"/>
      <c r="T116" s="15">
        <f>IFERROR(IF(S116="","是","否"),"是")</f>
        <v/>
      </c>
      <c r="U116" s="225" t="n"/>
    </row>
    <row r="117" ht="30" customHeight="1">
      <c r="A117" s="225" t="n"/>
      <c r="B117" s="225" t="n"/>
      <c r="C117" s="225" t="n"/>
      <c r="D117" s="226" t="n"/>
      <c r="E117" s="225" t="n"/>
      <c r="F117" s="226" t="n"/>
      <c r="G117" s="225" t="n"/>
      <c r="H117" s="225" t="n"/>
      <c r="I117" s="225" t="n"/>
      <c r="J117" s="225" t="n"/>
      <c r="K117" s="225" t="n"/>
      <c r="L117" s="225" t="n"/>
      <c r="M117" s="225" t="n"/>
      <c r="N117" s="15">
        <f>IFERROR(IF(OR(J117="已破獲未移送",J117="已移送"),"是","否"),"")</f>
        <v/>
      </c>
      <c r="O117" s="15">
        <f>IFERROR(IF(D117="","",YEAR(D117)-1911),"")</f>
        <v/>
      </c>
      <c r="P117" s="15">
        <f>IFERROR(INDEX(案類分類清單,MATCH(B117,案類名稱清單,0)),"")</f>
        <v/>
      </c>
      <c r="Q117" s="15">
        <f>IFERROR(INDEX(納入全般清單,MATCH(B117,案類名稱清單,0)),"否")</f>
        <v/>
      </c>
      <c r="R117" s="15">
        <f>IFERROR(O117*10000+IFERROR(MATCH(J117,{"尚未偵破","已破獲未移送","已移送","簽結"},0),0)*100+ROW(),0)</f>
        <v/>
      </c>
      <c r="S117" s="225" t="n"/>
      <c r="T117" s="15">
        <f>IFERROR(IF(S117="","是","否"),"是")</f>
        <v/>
      </c>
      <c r="U117" s="225" t="n"/>
    </row>
    <row r="118" ht="30" customHeight="1">
      <c r="A118" s="225" t="n"/>
      <c r="B118" s="225" t="n"/>
      <c r="C118" s="225" t="n"/>
      <c r="D118" s="226" t="n"/>
      <c r="E118" s="225" t="n"/>
      <c r="F118" s="226" t="n"/>
      <c r="G118" s="225" t="n"/>
      <c r="H118" s="225" t="n"/>
      <c r="I118" s="225" t="n"/>
      <c r="J118" s="225" t="n"/>
      <c r="K118" s="225" t="n"/>
      <c r="L118" s="225" t="n"/>
      <c r="M118" s="225" t="n"/>
      <c r="N118" s="15">
        <f>IFERROR(IF(OR(J118="已破獲未移送",J118="已移送"),"是","否"),"")</f>
        <v/>
      </c>
      <c r="O118" s="15">
        <f>IFERROR(IF(D118="","",YEAR(D118)-1911),"")</f>
        <v/>
      </c>
      <c r="P118" s="15">
        <f>IFERROR(INDEX(案類分類清單,MATCH(B118,案類名稱清單,0)),"")</f>
        <v/>
      </c>
      <c r="Q118" s="15">
        <f>IFERROR(INDEX(納入全般清單,MATCH(B118,案類名稱清單,0)),"否")</f>
        <v/>
      </c>
      <c r="R118" s="15">
        <f>IFERROR(O118*10000+IFERROR(MATCH(J118,{"尚未偵破","已破獲未移送","已移送","簽結"},0),0)*100+ROW(),0)</f>
        <v/>
      </c>
      <c r="S118" s="225" t="n"/>
      <c r="T118" s="15">
        <f>IFERROR(IF(S118="","是","否"),"是")</f>
        <v/>
      </c>
      <c r="U118" s="225" t="n"/>
    </row>
    <row r="119" ht="30" customHeight="1">
      <c r="A119" s="225" t="n"/>
      <c r="B119" s="225" t="n"/>
      <c r="C119" s="225" t="n"/>
      <c r="D119" s="226" t="n"/>
      <c r="E119" s="225" t="n"/>
      <c r="F119" s="226" t="n"/>
      <c r="G119" s="225" t="n"/>
      <c r="H119" s="225" t="n"/>
      <c r="I119" s="225" t="n"/>
      <c r="J119" s="225" t="n"/>
      <c r="K119" s="225" t="n"/>
      <c r="L119" s="225" t="n"/>
      <c r="M119" s="225" t="n"/>
      <c r="N119" s="15">
        <f>IFERROR(IF(OR(J119="已破獲未移送",J119="已移送"),"是","否"),"")</f>
        <v/>
      </c>
      <c r="O119" s="15">
        <f>IFERROR(IF(D119="","",YEAR(D119)-1911),"")</f>
        <v/>
      </c>
      <c r="P119" s="15">
        <f>IFERROR(INDEX(案類分類清單,MATCH(B119,案類名稱清單,0)),"")</f>
        <v/>
      </c>
      <c r="Q119" s="15">
        <f>IFERROR(INDEX(納入全般清單,MATCH(B119,案類名稱清單,0)),"否")</f>
        <v/>
      </c>
      <c r="R119" s="15">
        <f>IFERROR(O119*10000+IFERROR(MATCH(J119,{"尚未偵破","已破獲未移送","已移送","簽結"},0),0)*100+ROW(),0)</f>
        <v/>
      </c>
      <c r="S119" s="225" t="n"/>
      <c r="T119" s="15">
        <f>IFERROR(IF(S119="","是","否"),"是")</f>
        <v/>
      </c>
      <c r="U119" s="225" t="n"/>
    </row>
    <row r="120" ht="30" customHeight="1">
      <c r="A120" s="225" t="n"/>
      <c r="B120" s="225" t="n"/>
      <c r="C120" s="225" t="n"/>
      <c r="D120" s="226" t="n"/>
      <c r="E120" s="225" t="n"/>
      <c r="F120" s="226" t="n"/>
      <c r="G120" s="225" t="n"/>
      <c r="H120" s="225" t="n"/>
      <c r="I120" s="225" t="n"/>
      <c r="J120" s="225" t="n"/>
      <c r="K120" s="225" t="n"/>
      <c r="L120" s="225" t="n"/>
      <c r="M120" s="225" t="n"/>
      <c r="N120" s="15">
        <f>IFERROR(IF(OR(J120="已破獲未移送",J120="已移送"),"是","否"),"")</f>
        <v/>
      </c>
      <c r="O120" s="15">
        <f>IFERROR(IF(D120="","",YEAR(D120)-1911),"")</f>
        <v/>
      </c>
      <c r="P120" s="15">
        <f>IFERROR(INDEX(案類分類清單,MATCH(B120,案類名稱清單,0)),"")</f>
        <v/>
      </c>
      <c r="Q120" s="15">
        <f>IFERROR(INDEX(納入全般清單,MATCH(B120,案類名稱清單,0)),"否")</f>
        <v/>
      </c>
      <c r="R120" s="15">
        <f>IFERROR(O120*10000+IFERROR(MATCH(J120,{"尚未偵破","已破獲未移送","已移送","簽結"},0),0)*100+ROW(),0)</f>
        <v/>
      </c>
      <c r="S120" s="225" t="n"/>
      <c r="T120" s="15">
        <f>IFERROR(IF(S120="","是","否"),"是")</f>
        <v/>
      </c>
      <c r="U120" s="225" t="n"/>
    </row>
    <row r="121" ht="30" customHeight="1">
      <c r="A121" s="225" t="n"/>
      <c r="B121" s="225" t="n"/>
      <c r="C121" s="225" t="n"/>
      <c r="D121" s="226" t="n"/>
      <c r="E121" s="225" t="n"/>
      <c r="F121" s="226" t="n"/>
      <c r="G121" s="225" t="n"/>
      <c r="H121" s="225" t="n"/>
      <c r="I121" s="225" t="n"/>
      <c r="J121" s="225" t="n"/>
      <c r="K121" s="225" t="n"/>
      <c r="L121" s="225" t="n"/>
      <c r="M121" s="225" t="n"/>
      <c r="N121" s="15">
        <f>IFERROR(IF(OR(J121="已破獲未移送",J121="已移送"),"是","否"),"")</f>
        <v/>
      </c>
      <c r="O121" s="15">
        <f>IFERROR(IF(D121="","",YEAR(D121)-1911),"")</f>
        <v/>
      </c>
      <c r="P121" s="15">
        <f>IFERROR(INDEX(案類分類清單,MATCH(B121,案類名稱清單,0)),"")</f>
        <v/>
      </c>
      <c r="Q121" s="15">
        <f>IFERROR(INDEX(納入全般清單,MATCH(B121,案類名稱清單,0)),"否")</f>
        <v/>
      </c>
      <c r="R121" s="15">
        <f>IFERROR(O121*10000+IFERROR(MATCH(J121,{"尚未偵破","已破獲未移送","已移送","簽結"},0),0)*100+ROW(),0)</f>
        <v/>
      </c>
      <c r="S121" s="225" t="n"/>
      <c r="T121" s="15">
        <f>IFERROR(IF(S121="","是","否"),"是")</f>
        <v/>
      </c>
      <c r="U121" s="225" t="n"/>
    </row>
    <row r="122" ht="30" customHeight="1">
      <c r="A122" s="225" t="n"/>
      <c r="B122" s="225" t="n"/>
      <c r="C122" s="225" t="n"/>
      <c r="D122" s="226" t="n"/>
      <c r="E122" s="225" t="n"/>
      <c r="F122" s="226" t="n"/>
      <c r="G122" s="225" t="n"/>
      <c r="H122" s="225" t="n"/>
      <c r="I122" s="225" t="n"/>
      <c r="J122" s="225" t="n"/>
      <c r="K122" s="225" t="n"/>
      <c r="L122" s="225" t="n"/>
      <c r="M122" s="225" t="n"/>
      <c r="N122" s="15">
        <f>IFERROR(IF(OR(J122="已破獲未移送",J122="已移送"),"是","否"),"")</f>
        <v/>
      </c>
      <c r="O122" s="15">
        <f>IFERROR(IF(D122="","",YEAR(D122)-1911),"")</f>
        <v/>
      </c>
      <c r="P122" s="15">
        <f>IFERROR(INDEX(案類分類清單,MATCH(B122,案類名稱清單,0)),"")</f>
        <v/>
      </c>
      <c r="Q122" s="15">
        <f>IFERROR(INDEX(納入全般清單,MATCH(B122,案類名稱清單,0)),"否")</f>
        <v/>
      </c>
      <c r="R122" s="15">
        <f>IFERROR(O122*10000+IFERROR(MATCH(J122,{"尚未偵破","已破獲未移送","已移送","簽結"},0),0)*100+ROW(),0)</f>
        <v/>
      </c>
      <c r="S122" s="225" t="n"/>
      <c r="T122" s="15">
        <f>IFERROR(IF(S122="","是","否"),"是")</f>
        <v/>
      </c>
      <c r="U122" s="225" t="n"/>
    </row>
    <row r="123" ht="30" customHeight="1">
      <c r="A123" s="225" t="n"/>
      <c r="B123" s="225" t="n"/>
      <c r="C123" s="225" t="n"/>
      <c r="D123" s="226" t="n"/>
      <c r="E123" s="225" t="n"/>
      <c r="F123" s="226" t="n"/>
      <c r="G123" s="225" t="n"/>
      <c r="H123" s="225" t="n"/>
      <c r="I123" s="225" t="n"/>
      <c r="J123" s="225" t="n"/>
      <c r="K123" s="225" t="n"/>
      <c r="L123" s="225" t="n"/>
      <c r="M123" s="225" t="n"/>
      <c r="N123" s="15">
        <f>IFERROR(IF(OR(J123="已破獲未移送",J123="已移送"),"是","否"),"")</f>
        <v/>
      </c>
      <c r="O123" s="15">
        <f>IFERROR(IF(D123="","",YEAR(D123)-1911),"")</f>
        <v/>
      </c>
      <c r="P123" s="15">
        <f>IFERROR(INDEX(案類分類清單,MATCH(B123,案類名稱清單,0)),"")</f>
        <v/>
      </c>
      <c r="Q123" s="15">
        <f>IFERROR(INDEX(納入全般清單,MATCH(B123,案類名稱清單,0)),"否")</f>
        <v/>
      </c>
      <c r="R123" s="15">
        <f>IFERROR(O123*10000+IFERROR(MATCH(J123,{"尚未偵破","已破獲未移送","已移送","簽結"},0),0)*100+ROW(),0)</f>
        <v/>
      </c>
      <c r="S123" s="225" t="n"/>
      <c r="T123" s="15">
        <f>IFERROR(IF(S123="","是","否"),"是")</f>
        <v/>
      </c>
      <c r="U123" s="225" t="n"/>
    </row>
    <row r="124" ht="30" customHeight="1">
      <c r="A124" s="225" t="n"/>
      <c r="B124" s="225" t="n"/>
      <c r="C124" s="225" t="n"/>
      <c r="D124" s="226" t="n"/>
      <c r="E124" s="225" t="n"/>
      <c r="F124" s="226" t="n"/>
      <c r="G124" s="225" t="n"/>
      <c r="H124" s="225" t="n"/>
      <c r="I124" s="225" t="n"/>
      <c r="J124" s="225" t="n"/>
      <c r="K124" s="225" t="n"/>
      <c r="L124" s="225" t="n"/>
      <c r="M124" s="225" t="n"/>
      <c r="N124" s="15">
        <f>IFERROR(IF(OR(J124="已破獲未移送",J124="已移送"),"是","否"),"")</f>
        <v/>
      </c>
      <c r="O124" s="15">
        <f>IFERROR(IF(D124="","",YEAR(D124)-1911),"")</f>
        <v/>
      </c>
      <c r="P124" s="15">
        <f>IFERROR(INDEX(案類分類清單,MATCH(B124,案類名稱清單,0)),"")</f>
        <v/>
      </c>
      <c r="Q124" s="15">
        <f>IFERROR(INDEX(納入全般清單,MATCH(B124,案類名稱清單,0)),"否")</f>
        <v/>
      </c>
      <c r="R124" s="15">
        <f>IFERROR(O124*10000+IFERROR(MATCH(J124,{"尚未偵破","已破獲未移送","已移送","簽結"},0),0)*100+ROW(),0)</f>
        <v/>
      </c>
      <c r="S124" s="225" t="n"/>
      <c r="T124" s="15">
        <f>IFERROR(IF(S124="","是","否"),"是")</f>
        <v/>
      </c>
      <c r="U124" s="225" t="n"/>
    </row>
    <row r="125" ht="30" customHeight="1">
      <c r="A125" s="225" t="n"/>
      <c r="B125" s="225" t="n"/>
      <c r="C125" s="225" t="n"/>
      <c r="D125" s="226" t="n"/>
      <c r="E125" s="225" t="n"/>
      <c r="F125" s="226" t="n"/>
      <c r="G125" s="225" t="n"/>
      <c r="H125" s="225" t="n"/>
      <c r="I125" s="225" t="n"/>
      <c r="J125" s="225" t="n"/>
      <c r="K125" s="225" t="n"/>
      <c r="L125" s="225" t="n"/>
      <c r="M125" s="225" t="n"/>
      <c r="N125" s="15">
        <f>IFERROR(IF(OR(J125="已破獲未移送",J125="已移送"),"是","否"),"")</f>
        <v/>
      </c>
      <c r="O125" s="15">
        <f>IFERROR(IF(D125="","",YEAR(D125)-1911),"")</f>
        <v/>
      </c>
      <c r="P125" s="15">
        <f>IFERROR(INDEX(案類分類清單,MATCH(B125,案類名稱清單,0)),"")</f>
        <v/>
      </c>
      <c r="Q125" s="15">
        <f>IFERROR(INDEX(納入全般清單,MATCH(B125,案類名稱清單,0)),"否")</f>
        <v/>
      </c>
      <c r="R125" s="15">
        <f>IFERROR(O125*10000+IFERROR(MATCH(J125,{"尚未偵破","已破獲未移送","已移送","簽結"},0),0)*100+ROW(),0)</f>
        <v/>
      </c>
      <c r="S125" s="225" t="n"/>
      <c r="T125" s="15">
        <f>IFERROR(IF(S125="","是","否"),"是")</f>
        <v/>
      </c>
      <c r="U125" s="225" t="n"/>
    </row>
    <row r="126" ht="30" customHeight="1">
      <c r="A126" s="225" t="n"/>
      <c r="B126" s="225" t="n"/>
      <c r="C126" s="225" t="n"/>
      <c r="D126" s="226" t="n"/>
      <c r="E126" s="225" t="n"/>
      <c r="F126" s="226" t="n"/>
      <c r="G126" s="225" t="n"/>
      <c r="H126" s="225" t="n"/>
      <c r="I126" s="225" t="n"/>
      <c r="J126" s="225" t="n"/>
      <c r="K126" s="225" t="n"/>
      <c r="L126" s="225" t="n"/>
      <c r="M126" s="225" t="n"/>
      <c r="N126" s="15">
        <f>IFERROR(IF(OR(J126="已破獲未移送",J126="已移送"),"是","否"),"")</f>
        <v/>
      </c>
      <c r="O126" s="15">
        <f>IFERROR(IF(D126="","",YEAR(D126)-1911),"")</f>
        <v/>
      </c>
      <c r="P126" s="15">
        <f>IFERROR(INDEX(案類分類清單,MATCH(B126,案類名稱清單,0)),"")</f>
        <v/>
      </c>
      <c r="Q126" s="15">
        <f>IFERROR(INDEX(納入全般清單,MATCH(B126,案類名稱清單,0)),"否")</f>
        <v/>
      </c>
      <c r="R126" s="15">
        <f>IFERROR(O126*10000+IFERROR(MATCH(J126,{"尚未偵破","已破獲未移送","已移送","簽結"},0),0)*100+ROW(),0)</f>
        <v/>
      </c>
      <c r="S126" s="225" t="n"/>
      <c r="T126" s="15">
        <f>IFERROR(IF(S126="","是","否"),"是")</f>
        <v/>
      </c>
      <c r="U126" s="225" t="n"/>
    </row>
    <row r="127" ht="30" customHeight="1">
      <c r="A127" s="225" t="n"/>
      <c r="B127" s="225" t="n"/>
      <c r="C127" s="225" t="n"/>
      <c r="D127" s="226" t="n"/>
      <c r="E127" s="225" t="n"/>
      <c r="F127" s="226" t="n"/>
      <c r="G127" s="225" t="n"/>
      <c r="H127" s="225" t="n"/>
      <c r="I127" s="225" t="n"/>
      <c r="J127" s="225" t="n"/>
      <c r="K127" s="225" t="n"/>
      <c r="L127" s="225" t="n"/>
      <c r="M127" s="225" t="n"/>
      <c r="N127" s="15">
        <f>IFERROR(IF(OR(J127="已破獲未移送",J127="已移送"),"是","否"),"")</f>
        <v/>
      </c>
      <c r="O127" s="15">
        <f>IFERROR(IF(D127="","",YEAR(D127)-1911),"")</f>
        <v/>
      </c>
      <c r="P127" s="15">
        <f>IFERROR(INDEX(案類分類清單,MATCH(B127,案類名稱清單,0)),"")</f>
        <v/>
      </c>
      <c r="Q127" s="15">
        <f>IFERROR(INDEX(納入全般清單,MATCH(B127,案類名稱清單,0)),"否")</f>
        <v/>
      </c>
      <c r="R127" s="15">
        <f>IFERROR(O127*10000+IFERROR(MATCH(J127,{"尚未偵破","已破獲未移送","已移送","簽結"},0),0)*100+ROW(),0)</f>
        <v/>
      </c>
      <c r="S127" s="225" t="n"/>
      <c r="T127" s="15">
        <f>IFERROR(IF(S127="","是","否"),"是")</f>
        <v/>
      </c>
      <c r="U127" s="225" t="n"/>
    </row>
    <row r="128" ht="30" customHeight="1">
      <c r="A128" s="225" t="n"/>
      <c r="B128" s="225" t="n"/>
      <c r="C128" s="225" t="n"/>
      <c r="D128" s="226" t="n"/>
      <c r="E128" s="225" t="n"/>
      <c r="F128" s="226" t="n"/>
      <c r="G128" s="225" t="n"/>
      <c r="H128" s="225" t="n"/>
      <c r="I128" s="225" t="n"/>
      <c r="J128" s="225" t="n"/>
      <c r="K128" s="225" t="n"/>
      <c r="L128" s="225" t="n"/>
      <c r="M128" s="225" t="n"/>
      <c r="N128" s="15">
        <f>IFERROR(IF(OR(J128="已破獲未移送",J128="已移送"),"是","否"),"")</f>
        <v/>
      </c>
      <c r="O128" s="15">
        <f>IFERROR(IF(D128="","",YEAR(D128)-1911),"")</f>
        <v/>
      </c>
      <c r="P128" s="15">
        <f>IFERROR(INDEX(案類分類清單,MATCH(B128,案類名稱清單,0)),"")</f>
        <v/>
      </c>
      <c r="Q128" s="15">
        <f>IFERROR(INDEX(納入全般清單,MATCH(B128,案類名稱清單,0)),"否")</f>
        <v/>
      </c>
      <c r="R128" s="15">
        <f>IFERROR(O128*10000+IFERROR(MATCH(J128,{"尚未偵破","已破獲未移送","已移送","簽結"},0),0)*100+ROW(),0)</f>
        <v/>
      </c>
      <c r="S128" s="225" t="n"/>
      <c r="T128" s="15">
        <f>IFERROR(IF(S128="","是","否"),"是")</f>
        <v/>
      </c>
      <c r="U128" s="225" t="n"/>
    </row>
    <row r="129" ht="30" customHeight="1">
      <c r="A129" s="225" t="n"/>
      <c r="B129" s="225" t="n"/>
      <c r="C129" s="225" t="n"/>
      <c r="D129" s="226" t="n"/>
      <c r="E129" s="225" t="n"/>
      <c r="F129" s="226" t="n"/>
      <c r="G129" s="225" t="n"/>
      <c r="H129" s="225" t="n"/>
      <c r="I129" s="225" t="n"/>
      <c r="J129" s="225" t="n"/>
      <c r="K129" s="225" t="n"/>
      <c r="L129" s="225" t="n"/>
      <c r="M129" s="225" t="n"/>
      <c r="N129" s="15">
        <f>IFERROR(IF(OR(J129="已破獲未移送",J129="已移送"),"是","否"),"")</f>
        <v/>
      </c>
      <c r="O129" s="15">
        <f>IFERROR(IF(D129="","",YEAR(D129)-1911),"")</f>
        <v/>
      </c>
      <c r="P129" s="15">
        <f>IFERROR(INDEX(案類分類清單,MATCH(B129,案類名稱清單,0)),"")</f>
        <v/>
      </c>
      <c r="Q129" s="15">
        <f>IFERROR(INDEX(納入全般清單,MATCH(B129,案類名稱清單,0)),"否")</f>
        <v/>
      </c>
      <c r="R129" s="15">
        <f>IFERROR(O129*10000+IFERROR(MATCH(J129,{"尚未偵破","已破獲未移送","已移送","簽結"},0),0)*100+ROW(),0)</f>
        <v/>
      </c>
      <c r="S129" s="225" t="n"/>
      <c r="T129" s="15">
        <f>IFERROR(IF(S129="","是","否"),"是")</f>
        <v/>
      </c>
      <c r="U129" s="225" t="n"/>
    </row>
    <row r="130" ht="30" customHeight="1">
      <c r="A130" s="225" t="n"/>
      <c r="B130" s="225" t="n"/>
      <c r="C130" s="225" t="n"/>
      <c r="D130" s="226" t="n"/>
      <c r="E130" s="225" t="n"/>
      <c r="F130" s="226" t="n"/>
      <c r="G130" s="225" t="n"/>
      <c r="H130" s="225" t="n"/>
      <c r="I130" s="225" t="n"/>
      <c r="J130" s="225" t="n"/>
      <c r="K130" s="225" t="n"/>
      <c r="L130" s="225" t="n"/>
      <c r="M130" s="225" t="n"/>
      <c r="N130" s="15">
        <f>IFERROR(IF(OR(J130="已破獲未移送",J130="已移送"),"是","否"),"")</f>
        <v/>
      </c>
      <c r="O130" s="15">
        <f>IFERROR(IF(D130="","",YEAR(D130)-1911),"")</f>
        <v/>
      </c>
      <c r="P130" s="15">
        <f>IFERROR(INDEX(案類分類清單,MATCH(B130,案類名稱清單,0)),"")</f>
        <v/>
      </c>
      <c r="Q130" s="15">
        <f>IFERROR(INDEX(納入全般清單,MATCH(B130,案類名稱清單,0)),"否")</f>
        <v/>
      </c>
      <c r="R130" s="15">
        <f>IFERROR(O130*10000+IFERROR(MATCH(J130,{"尚未偵破","已破獲未移送","已移送","簽結"},0),0)*100+ROW(),0)</f>
        <v/>
      </c>
      <c r="S130" s="225" t="n"/>
      <c r="T130" s="15">
        <f>IFERROR(IF(S130="","是","否"),"是")</f>
        <v/>
      </c>
      <c r="U130" s="225" t="n"/>
    </row>
    <row r="131" ht="30" customHeight="1">
      <c r="A131" s="225" t="n"/>
      <c r="B131" s="225" t="n"/>
      <c r="C131" s="225" t="n"/>
      <c r="D131" s="226" t="n"/>
      <c r="E131" s="225" t="n"/>
      <c r="F131" s="226" t="n"/>
      <c r="G131" s="225" t="n"/>
      <c r="H131" s="225" t="n"/>
      <c r="I131" s="225" t="n"/>
      <c r="J131" s="225" t="n"/>
      <c r="K131" s="225" t="n"/>
      <c r="L131" s="225" t="n"/>
      <c r="M131" s="225" t="n"/>
      <c r="N131" s="15">
        <f>IFERROR(IF(OR(J131="已破獲未移送",J131="已移送"),"是","否"),"")</f>
        <v/>
      </c>
      <c r="O131" s="15">
        <f>IFERROR(IF(D131="","",YEAR(D131)-1911),"")</f>
        <v/>
      </c>
      <c r="P131" s="15">
        <f>IFERROR(INDEX(案類分類清單,MATCH(B131,案類名稱清單,0)),"")</f>
        <v/>
      </c>
      <c r="Q131" s="15">
        <f>IFERROR(INDEX(納入全般清單,MATCH(B131,案類名稱清單,0)),"否")</f>
        <v/>
      </c>
      <c r="R131" s="15">
        <f>IFERROR(O131*10000+IFERROR(MATCH(J131,{"尚未偵破","已破獲未移送","已移送","簽結"},0),0)*100+ROW(),0)</f>
        <v/>
      </c>
      <c r="S131" s="225" t="n"/>
      <c r="T131" s="15">
        <f>IFERROR(IF(S131="","是","否"),"是")</f>
        <v/>
      </c>
      <c r="U131" s="225" t="n"/>
    </row>
    <row r="132" ht="30" customHeight="1">
      <c r="A132" s="225" t="n"/>
      <c r="B132" s="225" t="n"/>
      <c r="C132" s="225" t="n"/>
      <c r="D132" s="226" t="n"/>
      <c r="E132" s="225" t="n"/>
      <c r="F132" s="226" t="n"/>
      <c r="G132" s="225" t="n"/>
      <c r="H132" s="225" t="n"/>
      <c r="I132" s="225" t="n"/>
      <c r="J132" s="225" t="n"/>
      <c r="K132" s="225" t="n"/>
      <c r="L132" s="225" t="n"/>
      <c r="M132" s="225" t="n"/>
      <c r="N132" s="15">
        <f>IFERROR(IF(OR(J132="已破獲未移送",J132="已移送"),"是","否"),"")</f>
        <v/>
      </c>
      <c r="O132" s="15">
        <f>IFERROR(IF(D132="","",YEAR(D132)-1911),"")</f>
        <v/>
      </c>
      <c r="P132" s="15">
        <f>IFERROR(INDEX(案類分類清單,MATCH(B132,案類名稱清單,0)),"")</f>
        <v/>
      </c>
      <c r="Q132" s="15">
        <f>IFERROR(INDEX(納入全般清單,MATCH(B132,案類名稱清單,0)),"否")</f>
        <v/>
      </c>
      <c r="R132" s="15">
        <f>IFERROR(O132*10000+IFERROR(MATCH(J132,{"尚未偵破","已破獲未移送","已移送","簽結"},0),0)*100+ROW(),0)</f>
        <v/>
      </c>
      <c r="S132" s="225" t="n"/>
      <c r="T132" s="15">
        <f>IFERROR(IF(S132="","是","否"),"是")</f>
        <v/>
      </c>
      <c r="U132" s="225" t="n"/>
    </row>
    <row r="133" ht="30" customHeight="1">
      <c r="A133" s="225" t="n"/>
      <c r="B133" s="225" t="n"/>
      <c r="C133" s="225" t="n"/>
      <c r="D133" s="226" t="n"/>
      <c r="E133" s="225" t="n"/>
      <c r="F133" s="226" t="n"/>
      <c r="G133" s="225" t="n"/>
      <c r="H133" s="225" t="n"/>
      <c r="I133" s="225" t="n"/>
      <c r="J133" s="225" t="n"/>
      <c r="K133" s="225" t="n"/>
      <c r="L133" s="225" t="n"/>
      <c r="M133" s="225" t="n"/>
      <c r="N133" s="15">
        <f>IFERROR(IF(OR(J133="已破獲未移送",J133="已移送"),"是","否"),"")</f>
        <v/>
      </c>
      <c r="O133" s="15">
        <f>IFERROR(IF(D133="","",YEAR(D133)-1911),"")</f>
        <v/>
      </c>
      <c r="P133" s="15">
        <f>IFERROR(INDEX(案類分類清單,MATCH(B133,案類名稱清單,0)),"")</f>
        <v/>
      </c>
      <c r="Q133" s="15">
        <f>IFERROR(INDEX(納入全般清單,MATCH(B133,案類名稱清單,0)),"否")</f>
        <v/>
      </c>
      <c r="R133" s="15">
        <f>IFERROR(O133*10000+IFERROR(MATCH(J133,{"尚未偵破","已破獲未移送","已移送","簽結"},0),0)*100+ROW(),0)</f>
        <v/>
      </c>
      <c r="S133" s="225" t="n"/>
      <c r="T133" s="15">
        <f>IFERROR(IF(S133="","是","否"),"是")</f>
        <v/>
      </c>
      <c r="U133" s="225" t="n"/>
    </row>
    <row r="134" ht="30" customHeight="1">
      <c r="A134" s="225" t="n"/>
      <c r="B134" s="225" t="n"/>
      <c r="C134" s="225" t="n"/>
      <c r="D134" s="226" t="n"/>
      <c r="E134" s="225" t="n"/>
      <c r="F134" s="226" t="n"/>
      <c r="G134" s="225" t="n"/>
      <c r="H134" s="225" t="n"/>
      <c r="I134" s="225" t="n"/>
      <c r="J134" s="225" t="n"/>
      <c r="K134" s="225" t="n"/>
      <c r="L134" s="225" t="n"/>
      <c r="M134" s="225" t="n"/>
      <c r="N134" s="15">
        <f>IFERROR(IF(OR(J134="已破獲未移送",J134="已移送"),"是","否"),"")</f>
        <v/>
      </c>
      <c r="O134" s="15">
        <f>IFERROR(IF(D134="","",YEAR(D134)-1911),"")</f>
        <v/>
      </c>
      <c r="P134" s="15">
        <f>IFERROR(INDEX(案類分類清單,MATCH(B134,案類名稱清單,0)),"")</f>
        <v/>
      </c>
      <c r="Q134" s="15">
        <f>IFERROR(INDEX(納入全般清單,MATCH(B134,案類名稱清單,0)),"否")</f>
        <v/>
      </c>
      <c r="R134" s="15">
        <f>IFERROR(O134*10000+IFERROR(MATCH(J134,{"尚未偵破","已破獲未移送","已移送","簽結"},0),0)*100+ROW(),0)</f>
        <v/>
      </c>
      <c r="S134" s="225" t="n"/>
      <c r="T134" s="15">
        <f>IFERROR(IF(S134="","是","否"),"是")</f>
        <v/>
      </c>
      <c r="U134" s="225" t="n"/>
    </row>
    <row r="135" ht="30" customHeight="1">
      <c r="A135" s="225" t="n"/>
      <c r="B135" s="225" t="n"/>
      <c r="C135" s="225" t="n"/>
      <c r="D135" s="226" t="n"/>
      <c r="E135" s="225" t="n"/>
      <c r="F135" s="226" t="n"/>
      <c r="G135" s="225" t="n"/>
      <c r="H135" s="225" t="n"/>
      <c r="I135" s="225" t="n"/>
      <c r="J135" s="225" t="n"/>
      <c r="K135" s="225" t="n"/>
      <c r="L135" s="225" t="n"/>
      <c r="M135" s="225" t="n"/>
      <c r="N135" s="15">
        <f>IFERROR(IF(OR(J135="已破獲未移送",J135="已移送"),"是","否"),"")</f>
        <v/>
      </c>
      <c r="O135" s="15">
        <f>IFERROR(IF(D135="","",YEAR(D135)-1911),"")</f>
        <v/>
      </c>
      <c r="P135" s="15">
        <f>IFERROR(INDEX(案類分類清單,MATCH(B135,案類名稱清單,0)),"")</f>
        <v/>
      </c>
      <c r="Q135" s="15">
        <f>IFERROR(INDEX(納入全般清單,MATCH(B135,案類名稱清單,0)),"否")</f>
        <v/>
      </c>
      <c r="R135" s="15">
        <f>IFERROR(O135*10000+IFERROR(MATCH(J135,{"尚未偵破","已破獲未移送","已移送","簽結"},0),0)*100+ROW(),0)</f>
        <v/>
      </c>
      <c r="S135" s="225" t="n"/>
      <c r="T135" s="15">
        <f>IFERROR(IF(S135="","是","否"),"是")</f>
        <v/>
      </c>
      <c r="U135" s="225" t="n"/>
    </row>
    <row r="136" ht="30" customHeight="1">
      <c r="A136" s="225" t="n"/>
      <c r="B136" s="225" t="n"/>
      <c r="C136" s="225" t="n"/>
      <c r="D136" s="226" t="n"/>
      <c r="E136" s="225" t="n"/>
      <c r="F136" s="226" t="n"/>
      <c r="G136" s="225" t="n"/>
      <c r="H136" s="225" t="n"/>
      <c r="I136" s="225" t="n"/>
      <c r="J136" s="225" t="n"/>
      <c r="K136" s="225" t="n"/>
      <c r="L136" s="225" t="n"/>
      <c r="M136" s="225" t="n"/>
      <c r="N136" s="15">
        <f>IFERROR(IF(OR(J136="已破獲未移送",J136="已移送"),"是","否"),"")</f>
        <v/>
      </c>
      <c r="O136" s="15">
        <f>IFERROR(IF(D136="","",YEAR(D136)-1911),"")</f>
        <v/>
      </c>
      <c r="P136" s="15">
        <f>IFERROR(INDEX(案類分類清單,MATCH(B136,案類名稱清單,0)),"")</f>
        <v/>
      </c>
      <c r="Q136" s="15">
        <f>IFERROR(INDEX(納入全般清單,MATCH(B136,案類名稱清單,0)),"否")</f>
        <v/>
      </c>
      <c r="R136" s="15">
        <f>IFERROR(O136*10000+IFERROR(MATCH(J136,{"尚未偵破","已破獲未移送","已移送","簽結"},0),0)*100+ROW(),0)</f>
        <v/>
      </c>
      <c r="S136" s="225" t="n"/>
      <c r="T136" s="15">
        <f>IFERROR(IF(S136="","是","否"),"是")</f>
        <v/>
      </c>
      <c r="U136" s="225" t="n"/>
    </row>
    <row r="137" ht="30" customHeight="1">
      <c r="A137" s="225" t="n"/>
      <c r="B137" s="225" t="n"/>
      <c r="C137" s="225" t="n"/>
      <c r="D137" s="226" t="n"/>
      <c r="E137" s="225" t="n"/>
      <c r="F137" s="226" t="n"/>
      <c r="G137" s="225" t="n"/>
      <c r="H137" s="225" t="n"/>
      <c r="I137" s="225" t="n"/>
      <c r="J137" s="225" t="n"/>
      <c r="K137" s="225" t="n"/>
      <c r="L137" s="225" t="n"/>
      <c r="M137" s="225" t="n"/>
      <c r="N137" s="15">
        <f>IFERROR(IF(OR(J137="已破獲未移送",J137="已移送"),"是","否"),"")</f>
        <v/>
      </c>
      <c r="O137" s="15">
        <f>IFERROR(IF(D137="","",YEAR(D137)-1911),"")</f>
        <v/>
      </c>
      <c r="P137" s="15">
        <f>IFERROR(INDEX(案類分類清單,MATCH(B137,案類名稱清單,0)),"")</f>
        <v/>
      </c>
      <c r="Q137" s="15">
        <f>IFERROR(INDEX(納入全般清單,MATCH(B137,案類名稱清單,0)),"否")</f>
        <v/>
      </c>
      <c r="R137" s="15">
        <f>IFERROR(O137*10000+IFERROR(MATCH(J137,{"尚未偵破","已破獲未移送","已移送","簽結"},0),0)*100+ROW(),0)</f>
        <v/>
      </c>
      <c r="S137" s="225" t="n"/>
      <c r="T137" s="15">
        <f>IFERROR(IF(S137="","是","否"),"是")</f>
        <v/>
      </c>
      <c r="U137" s="225" t="n"/>
    </row>
    <row r="138" ht="30" customHeight="1">
      <c r="A138" s="225" t="n"/>
      <c r="B138" s="225" t="n"/>
      <c r="C138" s="225" t="n"/>
      <c r="D138" s="226" t="n"/>
      <c r="E138" s="225" t="n"/>
      <c r="F138" s="226" t="n"/>
      <c r="G138" s="225" t="n"/>
      <c r="H138" s="225" t="n"/>
      <c r="I138" s="225" t="n"/>
      <c r="J138" s="225" t="n"/>
      <c r="K138" s="225" t="n"/>
      <c r="L138" s="225" t="n"/>
      <c r="M138" s="225" t="n"/>
      <c r="N138" s="15">
        <f>IFERROR(IF(OR(J138="已破獲未移送",J138="已移送"),"是","否"),"")</f>
        <v/>
      </c>
      <c r="O138" s="15">
        <f>IFERROR(IF(D138="","",YEAR(D138)-1911),"")</f>
        <v/>
      </c>
      <c r="P138" s="15">
        <f>IFERROR(INDEX(案類分類清單,MATCH(B138,案類名稱清單,0)),"")</f>
        <v/>
      </c>
      <c r="Q138" s="15">
        <f>IFERROR(INDEX(納入全般清單,MATCH(B138,案類名稱清單,0)),"否")</f>
        <v/>
      </c>
      <c r="R138" s="15">
        <f>IFERROR(O138*10000+IFERROR(MATCH(J138,{"尚未偵破","已破獲未移送","已移送","簽結"},0),0)*100+ROW(),0)</f>
        <v/>
      </c>
      <c r="S138" s="225" t="n"/>
      <c r="T138" s="15">
        <f>IFERROR(IF(S138="","是","否"),"是")</f>
        <v/>
      </c>
      <c r="U138" s="225" t="n"/>
    </row>
    <row r="139" ht="30" customHeight="1">
      <c r="A139" s="225" t="n"/>
      <c r="B139" s="225" t="n"/>
      <c r="C139" s="225" t="n"/>
      <c r="D139" s="226" t="n"/>
      <c r="E139" s="225" t="n"/>
      <c r="F139" s="226" t="n"/>
      <c r="G139" s="225" t="n"/>
      <c r="H139" s="225" t="n"/>
      <c r="I139" s="225" t="n"/>
      <c r="J139" s="225" t="n"/>
      <c r="K139" s="225" t="n"/>
      <c r="L139" s="225" t="n"/>
      <c r="M139" s="225" t="n"/>
      <c r="N139" s="15">
        <f>IFERROR(IF(OR(J139="已破獲未移送",J139="已移送"),"是","否"),"")</f>
        <v/>
      </c>
      <c r="O139" s="15">
        <f>IFERROR(IF(D139="","",YEAR(D139)-1911),"")</f>
        <v/>
      </c>
      <c r="P139" s="15">
        <f>IFERROR(INDEX(案類分類清單,MATCH(B139,案類名稱清單,0)),"")</f>
        <v/>
      </c>
      <c r="Q139" s="15">
        <f>IFERROR(INDEX(納入全般清單,MATCH(B139,案類名稱清單,0)),"否")</f>
        <v/>
      </c>
      <c r="R139" s="15">
        <f>IFERROR(O139*10000+IFERROR(MATCH(J139,{"尚未偵破","已破獲未移送","已移送","簽結"},0),0)*100+ROW(),0)</f>
        <v/>
      </c>
      <c r="S139" s="225" t="n"/>
      <c r="T139" s="15">
        <f>IFERROR(IF(S139="","是","否"),"是")</f>
        <v/>
      </c>
      <c r="U139" s="225" t="n"/>
    </row>
    <row r="140" ht="30" customHeight="1">
      <c r="A140" s="225" t="n"/>
      <c r="B140" s="225" t="n"/>
      <c r="C140" s="225" t="n"/>
      <c r="D140" s="226" t="n"/>
      <c r="E140" s="225" t="n"/>
      <c r="F140" s="226" t="n"/>
      <c r="G140" s="225" t="n"/>
      <c r="H140" s="225" t="n"/>
      <c r="I140" s="225" t="n"/>
      <c r="J140" s="225" t="n"/>
      <c r="K140" s="225" t="n"/>
      <c r="L140" s="225" t="n"/>
      <c r="M140" s="225" t="n"/>
      <c r="N140" s="15">
        <f>IFERROR(IF(OR(J140="已破獲未移送",J140="已移送"),"是","否"),"")</f>
        <v/>
      </c>
      <c r="O140" s="15">
        <f>IFERROR(IF(D140="","",YEAR(D140)-1911),"")</f>
        <v/>
      </c>
      <c r="P140" s="15">
        <f>IFERROR(INDEX(案類分類清單,MATCH(B140,案類名稱清單,0)),"")</f>
        <v/>
      </c>
      <c r="Q140" s="15">
        <f>IFERROR(INDEX(納入全般清單,MATCH(B140,案類名稱清單,0)),"否")</f>
        <v/>
      </c>
      <c r="R140" s="15">
        <f>IFERROR(O140*10000+IFERROR(MATCH(J140,{"尚未偵破","已破獲未移送","已移送","簽結"},0),0)*100+ROW(),0)</f>
        <v/>
      </c>
      <c r="S140" s="225" t="n"/>
      <c r="T140" s="15">
        <f>IFERROR(IF(S140="","是","否"),"是")</f>
        <v/>
      </c>
      <c r="U140" s="225" t="n"/>
    </row>
    <row r="141" ht="30" customHeight="1">
      <c r="A141" s="225" t="n"/>
      <c r="B141" s="225" t="n"/>
      <c r="C141" s="225" t="n"/>
      <c r="D141" s="226" t="n"/>
      <c r="E141" s="225" t="n"/>
      <c r="F141" s="226" t="n"/>
      <c r="G141" s="225" t="n"/>
      <c r="H141" s="225" t="n"/>
      <c r="I141" s="225" t="n"/>
      <c r="J141" s="225" t="n"/>
      <c r="K141" s="225" t="n"/>
      <c r="L141" s="225" t="n"/>
      <c r="M141" s="225" t="n"/>
      <c r="N141" s="15">
        <f>IFERROR(IF(OR(J141="已破獲未移送",J141="已移送"),"是","否"),"")</f>
        <v/>
      </c>
      <c r="O141" s="15">
        <f>IFERROR(IF(D141="","",YEAR(D141)-1911),"")</f>
        <v/>
      </c>
      <c r="P141" s="15">
        <f>IFERROR(INDEX(案類分類清單,MATCH(B141,案類名稱清單,0)),"")</f>
        <v/>
      </c>
      <c r="Q141" s="15">
        <f>IFERROR(INDEX(納入全般清單,MATCH(B141,案類名稱清單,0)),"否")</f>
        <v/>
      </c>
      <c r="R141" s="15">
        <f>IFERROR(O141*10000+IFERROR(MATCH(J141,{"尚未偵破","已破獲未移送","已移送","簽結"},0),0)*100+ROW(),0)</f>
        <v/>
      </c>
      <c r="S141" s="225" t="n"/>
      <c r="T141" s="15">
        <f>IFERROR(IF(S141="","是","否"),"是")</f>
        <v/>
      </c>
      <c r="U141" s="225" t="n"/>
    </row>
    <row r="142" ht="30" customHeight="1">
      <c r="A142" s="225" t="n"/>
      <c r="B142" s="225" t="n"/>
      <c r="C142" s="225" t="n"/>
      <c r="D142" s="226" t="n"/>
      <c r="E142" s="225" t="n"/>
      <c r="F142" s="226" t="n"/>
      <c r="G142" s="225" t="n"/>
      <c r="H142" s="225" t="n"/>
      <c r="I142" s="225" t="n"/>
      <c r="J142" s="225" t="n"/>
      <c r="K142" s="225" t="n"/>
      <c r="L142" s="225" t="n"/>
      <c r="M142" s="225" t="n"/>
      <c r="N142" s="15">
        <f>IFERROR(IF(OR(J142="已破獲未移送",J142="已移送"),"是","否"),"")</f>
        <v/>
      </c>
      <c r="O142" s="15">
        <f>IFERROR(IF(D142="","",YEAR(D142)-1911),"")</f>
        <v/>
      </c>
      <c r="P142" s="15">
        <f>IFERROR(INDEX(案類分類清單,MATCH(B142,案類名稱清單,0)),"")</f>
        <v/>
      </c>
      <c r="Q142" s="15">
        <f>IFERROR(INDEX(納入全般清單,MATCH(B142,案類名稱清單,0)),"否")</f>
        <v/>
      </c>
      <c r="R142" s="15">
        <f>IFERROR(O142*10000+IFERROR(MATCH(J142,{"尚未偵破","已破獲未移送","已移送","簽結"},0),0)*100+ROW(),0)</f>
        <v/>
      </c>
      <c r="S142" s="225" t="n"/>
      <c r="T142" s="15">
        <f>IFERROR(IF(S142="","是","否"),"是")</f>
        <v/>
      </c>
      <c r="U142" s="225" t="n"/>
    </row>
    <row r="143" ht="30" customHeight="1">
      <c r="A143" s="225" t="n"/>
      <c r="B143" s="225" t="n"/>
      <c r="C143" s="225" t="n"/>
      <c r="D143" s="226" t="n"/>
      <c r="E143" s="225" t="n"/>
      <c r="F143" s="226" t="n"/>
      <c r="G143" s="225" t="n"/>
      <c r="H143" s="225" t="n"/>
      <c r="I143" s="225" t="n"/>
      <c r="J143" s="225" t="n"/>
      <c r="K143" s="225" t="n"/>
      <c r="L143" s="225" t="n"/>
      <c r="M143" s="225" t="n"/>
      <c r="N143" s="15">
        <f>IFERROR(IF(OR(J143="已破獲未移送",J143="已移送"),"是","否"),"")</f>
        <v/>
      </c>
      <c r="O143" s="15">
        <f>IFERROR(IF(D143="","",YEAR(D143)-1911),"")</f>
        <v/>
      </c>
      <c r="P143" s="15">
        <f>IFERROR(INDEX(案類分類清單,MATCH(B143,案類名稱清單,0)),"")</f>
        <v/>
      </c>
      <c r="Q143" s="15">
        <f>IFERROR(INDEX(納入全般清單,MATCH(B143,案類名稱清單,0)),"否")</f>
        <v/>
      </c>
      <c r="R143" s="15">
        <f>IFERROR(O143*10000+IFERROR(MATCH(J143,{"尚未偵破","已破獲未移送","已移送","簽結"},0),0)*100+ROW(),0)</f>
        <v/>
      </c>
      <c r="S143" s="225" t="n"/>
      <c r="T143" s="15">
        <f>IFERROR(IF(S143="","是","否"),"是")</f>
        <v/>
      </c>
      <c r="U143" s="225" t="n"/>
    </row>
    <row r="144" ht="30" customHeight="1">
      <c r="A144" s="225" t="n"/>
      <c r="B144" s="225" t="n"/>
      <c r="C144" s="225" t="n"/>
      <c r="D144" s="226" t="n"/>
      <c r="E144" s="225" t="n"/>
      <c r="F144" s="226" t="n"/>
      <c r="G144" s="225" t="n"/>
      <c r="H144" s="225" t="n"/>
      <c r="I144" s="225" t="n"/>
      <c r="J144" s="225" t="n"/>
      <c r="K144" s="225" t="n"/>
      <c r="L144" s="225" t="n"/>
      <c r="M144" s="225" t="n"/>
      <c r="N144" s="15">
        <f>IFERROR(IF(OR(J144="已破獲未移送",J144="已移送"),"是","否"),"")</f>
        <v/>
      </c>
      <c r="O144" s="15">
        <f>IFERROR(IF(D144="","",YEAR(D144)-1911),"")</f>
        <v/>
      </c>
      <c r="P144" s="15">
        <f>IFERROR(INDEX(案類分類清單,MATCH(B144,案類名稱清單,0)),"")</f>
        <v/>
      </c>
      <c r="Q144" s="15">
        <f>IFERROR(INDEX(納入全般清單,MATCH(B144,案類名稱清單,0)),"否")</f>
        <v/>
      </c>
      <c r="R144" s="15">
        <f>IFERROR(O144*10000+IFERROR(MATCH(J144,{"尚未偵破","已破獲未移送","已移送","簽結"},0),0)*100+ROW(),0)</f>
        <v/>
      </c>
      <c r="S144" s="225" t="n"/>
      <c r="T144" s="15">
        <f>IFERROR(IF(S144="","是","否"),"是")</f>
        <v/>
      </c>
      <c r="U144" s="225" t="n"/>
    </row>
    <row r="145" ht="30" customHeight="1">
      <c r="A145" s="225" t="n"/>
      <c r="B145" s="225" t="n"/>
      <c r="C145" s="225" t="n"/>
      <c r="D145" s="226" t="n"/>
      <c r="E145" s="225" t="n"/>
      <c r="F145" s="226" t="n"/>
      <c r="G145" s="225" t="n"/>
      <c r="H145" s="225" t="n"/>
      <c r="I145" s="225" t="n"/>
      <c r="J145" s="225" t="n"/>
      <c r="K145" s="225" t="n"/>
      <c r="L145" s="225" t="n"/>
      <c r="M145" s="225" t="n"/>
      <c r="N145" s="15">
        <f>IFERROR(IF(OR(J145="已破獲未移送",J145="已移送"),"是","否"),"")</f>
        <v/>
      </c>
      <c r="O145" s="15">
        <f>IFERROR(IF(D145="","",YEAR(D145)-1911),"")</f>
        <v/>
      </c>
      <c r="P145" s="15">
        <f>IFERROR(INDEX(案類分類清單,MATCH(B145,案類名稱清單,0)),"")</f>
        <v/>
      </c>
      <c r="Q145" s="15">
        <f>IFERROR(INDEX(納入全般清單,MATCH(B145,案類名稱清單,0)),"否")</f>
        <v/>
      </c>
      <c r="R145" s="15">
        <f>IFERROR(O145*10000+IFERROR(MATCH(J145,{"尚未偵破","已破獲未移送","已移送","簽結"},0),0)*100+ROW(),0)</f>
        <v/>
      </c>
      <c r="S145" s="225" t="n"/>
      <c r="T145" s="15">
        <f>IFERROR(IF(S145="","是","否"),"是")</f>
        <v/>
      </c>
      <c r="U145" s="225" t="n"/>
    </row>
    <row r="146" ht="30" customHeight="1">
      <c r="A146" s="225" t="n"/>
      <c r="B146" s="225" t="n"/>
      <c r="C146" s="225" t="n"/>
      <c r="D146" s="226" t="n"/>
      <c r="E146" s="225" t="n"/>
      <c r="F146" s="226" t="n"/>
      <c r="G146" s="225" t="n"/>
      <c r="H146" s="225" t="n"/>
      <c r="I146" s="225" t="n"/>
      <c r="J146" s="225" t="n"/>
      <c r="K146" s="225" t="n"/>
      <c r="L146" s="225" t="n"/>
      <c r="M146" s="225" t="n"/>
      <c r="N146" s="15">
        <f>IFERROR(IF(OR(J146="已破獲未移送",J146="已移送"),"是","否"),"")</f>
        <v/>
      </c>
      <c r="O146" s="15">
        <f>IFERROR(IF(D146="","",YEAR(D146)-1911),"")</f>
        <v/>
      </c>
      <c r="P146" s="15">
        <f>IFERROR(INDEX(案類分類清單,MATCH(B146,案類名稱清單,0)),"")</f>
        <v/>
      </c>
      <c r="Q146" s="15">
        <f>IFERROR(INDEX(納入全般清單,MATCH(B146,案類名稱清單,0)),"否")</f>
        <v/>
      </c>
      <c r="R146" s="15">
        <f>IFERROR(O146*10000+IFERROR(MATCH(J146,{"尚未偵破","已破獲未移送","已移送","簽結"},0),0)*100+ROW(),0)</f>
        <v/>
      </c>
      <c r="S146" s="225" t="n"/>
      <c r="T146" s="15">
        <f>IFERROR(IF(S146="","是","否"),"是")</f>
        <v/>
      </c>
      <c r="U146" s="225" t="n"/>
    </row>
    <row r="147" ht="30" customHeight="1">
      <c r="A147" s="225" t="n"/>
      <c r="B147" s="225" t="n"/>
      <c r="C147" s="225" t="n"/>
      <c r="D147" s="226" t="n"/>
      <c r="E147" s="225" t="n"/>
      <c r="F147" s="226" t="n"/>
      <c r="G147" s="225" t="n"/>
      <c r="H147" s="225" t="n"/>
      <c r="I147" s="225" t="n"/>
      <c r="J147" s="225" t="n"/>
      <c r="K147" s="225" t="n"/>
      <c r="L147" s="225" t="n"/>
      <c r="M147" s="225" t="n"/>
      <c r="N147" s="15">
        <f>IFERROR(IF(OR(J147="已破獲未移送",J147="已移送"),"是","否"),"")</f>
        <v/>
      </c>
      <c r="O147" s="15">
        <f>IFERROR(IF(D147="","",YEAR(D147)-1911),"")</f>
        <v/>
      </c>
      <c r="P147" s="15">
        <f>IFERROR(INDEX(案類分類清單,MATCH(B147,案類名稱清單,0)),"")</f>
        <v/>
      </c>
      <c r="Q147" s="15">
        <f>IFERROR(INDEX(納入全般清單,MATCH(B147,案類名稱清單,0)),"否")</f>
        <v/>
      </c>
      <c r="R147" s="15">
        <f>IFERROR(O147*10000+IFERROR(MATCH(J147,{"尚未偵破","已破獲未移送","已移送","簽結"},0),0)*100+ROW(),0)</f>
        <v/>
      </c>
      <c r="S147" s="225" t="n"/>
      <c r="T147" s="15">
        <f>IFERROR(IF(S147="","是","否"),"是")</f>
        <v/>
      </c>
      <c r="U147" s="225" t="n"/>
    </row>
    <row r="148" ht="30" customHeight="1">
      <c r="A148" s="225" t="n"/>
      <c r="B148" s="225" t="n"/>
      <c r="C148" s="225" t="n"/>
      <c r="D148" s="226" t="n"/>
      <c r="E148" s="225" t="n"/>
      <c r="F148" s="226" t="n"/>
      <c r="G148" s="225" t="n"/>
      <c r="H148" s="225" t="n"/>
      <c r="I148" s="225" t="n"/>
      <c r="J148" s="225" t="n"/>
      <c r="K148" s="225" t="n"/>
      <c r="L148" s="225" t="n"/>
      <c r="M148" s="225" t="n"/>
      <c r="N148" s="15">
        <f>IFERROR(IF(OR(J148="已破獲未移送",J148="已移送"),"是","否"),"")</f>
        <v/>
      </c>
      <c r="O148" s="15">
        <f>IFERROR(IF(D148="","",YEAR(D148)-1911),"")</f>
        <v/>
      </c>
      <c r="P148" s="15">
        <f>IFERROR(INDEX(案類分類清單,MATCH(B148,案類名稱清單,0)),"")</f>
        <v/>
      </c>
      <c r="Q148" s="15">
        <f>IFERROR(INDEX(納入全般清單,MATCH(B148,案類名稱清單,0)),"否")</f>
        <v/>
      </c>
      <c r="R148" s="15">
        <f>IFERROR(O148*10000+IFERROR(MATCH(J148,{"尚未偵破","已破獲未移送","已移送","簽結"},0),0)*100+ROW(),0)</f>
        <v/>
      </c>
      <c r="S148" s="225" t="n"/>
      <c r="T148" s="15">
        <f>IFERROR(IF(S148="","是","否"),"是")</f>
        <v/>
      </c>
      <c r="U148" s="225" t="n"/>
    </row>
    <row r="149" ht="30" customHeight="1">
      <c r="A149" s="225" t="n"/>
      <c r="B149" s="225" t="n"/>
      <c r="C149" s="225" t="n"/>
      <c r="D149" s="226" t="n"/>
      <c r="E149" s="225" t="n"/>
      <c r="F149" s="226" t="n"/>
      <c r="G149" s="225" t="n"/>
      <c r="H149" s="225" t="n"/>
      <c r="I149" s="225" t="n"/>
      <c r="J149" s="225" t="n"/>
      <c r="K149" s="225" t="n"/>
      <c r="L149" s="225" t="n"/>
      <c r="M149" s="225" t="n"/>
      <c r="N149" s="15">
        <f>IFERROR(IF(OR(J149="已破獲未移送",J149="已移送"),"是","否"),"")</f>
        <v/>
      </c>
      <c r="O149" s="15">
        <f>IFERROR(IF(D149="","",YEAR(D149)-1911),"")</f>
        <v/>
      </c>
      <c r="P149" s="15">
        <f>IFERROR(INDEX(案類分類清單,MATCH(B149,案類名稱清單,0)),"")</f>
        <v/>
      </c>
      <c r="Q149" s="15">
        <f>IFERROR(INDEX(納入全般清單,MATCH(B149,案類名稱清單,0)),"否")</f>
        <v/>
      </c>
      <c r="R149" s="15">
        <f>IFERROR(O149*10000+IFERROR(MATCH(J149,{"尚未偵破","已破獲未移送","已移送","簽結"},0),0)*100+ROW(),0)</f>
        <v/>
      </c>
      <c r="S149" s="225" t="n"/>
      <c r="T149" s="15">
        <f>IFERROR(IF(S149="","是","否"),"是")</f>
        <v/>
      </c>
      <c r="U149" s="225" t="n"/>
    </row>
    <row r="150" ht="30" customHeight="1">
      <c r="A150" s="225" t="n"/>
      <c r="B150" s="225" t="n"/>
      <c r="C150" s="225" t="n"/>
      <c r="D150" s="226" t="n"/>
      <c r="E150" s="225" t="n"/>
      <c r="F150" s="226" t="n"/>
      <c r="G150" s="225" t="n"/>
      <c r="H150" s="225" t="n"/>
      <c r="I150" s="225" t="n"/>
      <c r="J150" s="225" t="n"/>
      <c r="K150" s="225" t="n"/>
      <c r="L150" s="225" t="n"/>
      <c r="M150" s="225" t="n"/>
      <c r="N150" s="15">
        <f>IFERROR(IF(OR(J150="已破獲未移送",J150="已移送"),"是","否"),"")</f>
        <v/>
      </c>
      <c r="O150" s="15">
        <f>IFERROR(IF(D150="","",YEAR(D150)-1911),"")</f>
        <v/>
      </c>
      <c r="P150" s="15">
        <f>IFERROR(INDEX(案類分類清單,MATCH(B150,案類名稱清單,0)),"")</f>
        <v/>
      </c>
      <c r="Q150" s="15">
        <f>IFERROR(INDEX(納入全般清單,MATCH(B150,案類名稱清單,0)),"否")</f>
        <v/>
      </c>
      <c r="R150" s="15">
        <f>IFERROR(O150*10000+IFERROR(MATCH(J150,{"尚未偵破","已破獲未移送","已移送","簽結"},0),0)*100+ROW(),0)</f>
        <v/>
      </c>
      <c r="S150" s="225" t="n"/>
      <c r="T150" s="15">
        <f>IFERROR(IF(S150="","是","否"),"是")</f>
        <v/>
      </c>
      <c r="U150" s="225" t="n"/>
    </row>
    <row r="151" ht="30" customHeight="1">
      <c r="A151" s="225" t="n"/>
      <c r="B151" s="225" t="n"/>
      <c r="C151" s="225" t="n"/>
      <c r="D151" s="226" t="n"/>
      <c r="E151" s="225" t="n"/>
      <c r="F151" s="226" t="n"/>
      <c r="G151" s="225" t="n"/>
      <c r="H151" s="225" t="n"/>
      <c r="I151" s="225" t="n"/>
      <c r="J151" s="225" t="n"/>
      <c r="K151" s="225" t="n"/>
      <c r="L151" s="225" t="n"/>
      <c r="M151" s="225" t="n"/>
      <c r="N151" s="15">
        <f>IFERROR(IF(OR(J151="已破獲未移送",J151="已移送"),"是","否"),"")</f>
        <v/>
      </c>
      <c r="O151" s="15">
        <f>IFERROR(IF(D151="","",YEAR(D151)-1911),"")</f>
        <v/>
      </c>
      <c r="P151" s="15">
        <f>IFERROR(INDEX(案類分類清單,MATCH(B151,案類名稱清單,0)),"")</f>
        <v/>
      </c>
      <c r="Q151" s="15">
        <f>IFERROR(INDEX(納入全般清單,MATCH(B151,案類名稱清單,0)),"否")</f>
        <v/>
      </c>
      <c r="R151" s="15">
        <f>IFERROR(O151*10000+IFERROR(MATCH(J151,{"尚未偵破","已破獲未移送","已移送","簽結"},0),0)*100+ROW(),0)</f>
        <v/>
      </c>
      <c r="S151" s="225" t="n"/>
      <c r="T151" s="15">
        <f>IFERROR(IF(S151="","是","否"),"是")</f>
        <v/>
      </c>
      <c r="U151" s="225" t="n"/>
    </row>
    <row r="152" ht="30" customHeight="1">
      <c r="A152" s="225" t="n"/>
      <c r="B152" s="225" t="n"/>
      <c r="C152" s="225" t="n"/>
      <c r="D152" s="226" t="n"/>
      <c r="E152" s="225" t="n"/>
      <c r="F152" s="226" t="n"/>
      <c r="G152" s="225" t="n"/>
      <c r="H152" s="225" t="n"/>
      <c r="I152" s="225" t="n"/>
      <c r="J152" s="225" t="n"/>
      <c r="K152" s="225" t="n"/>
      <c r="L152" s="225" t="n"/>
      <c r="M152" s="225" t="n"/>
      <c r="N152" s="15">
        <f>IFERROR(IF(OR(J152="已破獲未移送",J152="已移送"),"是","否"),"")</f>
        <v/>
      </c>
      <c r="O152" s="15">
        <f>IFERROR(IF(D152="","",YEAR(D152)-1911),"")</f>
        <v/>
      </c>
      <c r="P152" s="15">
        <f>IFERROR(INDEX(案類分類清單,MATCH(B152,案類名稱清單,0)),"")</f>
        <v/>
      </c>
      <c r="Q152" s="15">
        <f>IFERROR(INDEX(納入全般清單,MATCH(B152,案類名稱清單,0)),"否")</f>
        <v/>
      </c>
      <c r="R152" s="15">
        <f>IFERROR(O152*10000+IFERROR(MATCH(J152,{"尚未偵破","已破獲未移送","已移送","簽結"},0),0)*100+ROW(),0)</f>
        <v/>
      </c>
      <c r="S152" s="225" t="n"/>
      <c r="T152" s="15">
        <f>IFERROR(IF(S152="","是","否"),"是")</f>
        <v/>
      </c>
      <c r="U152" s="225" t="n"/>
    </row>
    <row r="153" ht="30" customHeight="1">
      <c r="A153" s="225" t="n"/>
      <c r="B153" s="225" t="n"/>
      <c r="C153" s="225" t="n"/>
      <c r="D153" s="226" t="n"/>
      <c r="E153" s="225" t="n"/>
      <c r="F153" s="226" t="n"/>
      <c r="G153" s="225" t="n"/>
      <c r="H153" s="225" t="n"/>
      <c r="I153" s="225" t="n"/>
      <c r="J153" s="225" t="n"/>
      <c r="K153" s="225" t="n"/>
      <c r="L153" s="225" t="n"/>
      <c r="M153" s="225" t="n"/>
      <c r="N153" s="15">
        <f>IFERROR(IF(OR(J153="已破獲未移送",J153="已移送"),"是","否"),"")</f>
        <v/>
      </c>
      <c r="O153" s="15">
        <f>IFERROR(IF(D153="","",YEAR(D153)-1911),"")</f>
        <v/>
      </c>
      <c r="P153" s="15">
        <f>IFERROR(INDEX(案類分類清單,MATCH(B153,案類名稱清單,0)),"")</f>
        <v/>
      </c>
      <c r="Q153" s="15">
        <f>IFERROR(INDEX(納入全般清單,MATCH(B153,案類名稱清單,0)),"否")</f>
        <v/>
      </c>
      <c r="R153" s="15">
        <f>IFERROR(O153*10000+IFERROR(MATCH(J153,{"尚未偵破","已破獲未移送","已移送","簽結"},0),0)*100+ROW(),0)</f>
        <v/>
      </c>
      <c r="S153" s="225" t="n"/>
      <c r="T153" s="15">
        <f>IFERROR(IF(S153="","是","否"),"是")</f>
        <v/>
      </c>
      <c r="U153" s="225" t="n"/>
    </row>
    <row r="154" ht="30" customHeight="1">
      <c r="A154" s="225" t="n"/>
      <c r="B154" s="225" t="n"/>
      <c r="C154" s="225" t="n"/>
      <c r="D154" s="226" t="n"/>
      <c r="E154" s="225" t="n"/>
      <c r="F154" s="226" t="n"/>
      <c r="G154" s="225" t="n"/>
      <c r="H154" s="225" t="n"/>
      <c r="I154" s="225" t="n"/>
      <c r="J154" s="225" t="n"/>
      <c r="K154" s="225" t="n"/>
      <c r="L154" s="225" t="n"/>
      <c r="M154" s="225" t="n"/>
      <c r="N154" s="15">
        <f>IFERROR(IF(OR(J154="已破獲未移送",J154="已移送"),"是","否"),"")</f>
        <v/>
      </c>
      <c r="O154" s="15">
        <f>IFERROR(IF(D154="","",YEAR(D154)-1911),"")</f>
        <v/>
      </c>
      <c r="P154" s="15">
        <f>IFERROR(INDEX(案類分類清單,MATCH(B154,案類名稱清單,0)),"")</f>
        <v/>
      </c>
      <c r="Q154" s="15">
        <f>IFERROR(INDEX(納入全般清單,MATCH(B154,案類名稱清單,0)),"否")</f>
        <v/>
      </c>
      <c r="R154" s="15">
        <f>IFERROR(O154*10000+IFERROR(MATCH(J154,{"尚未偵破","已破獲未移送","已移送","簽結"},0),0)*100+ROW(),0)</f>
        <v/>
      </c>
      <c r="S154" s="225" t="n"/>
      <c r="T154" s="15">
        <f>IFERROR(IF(S154="","是","否"),"是")</f>
        <v/>
      </c>
      <c r="U154" s="225" t="n"/>
    </row>
    <row r="155" ht="30" customHeight="1">
      <c r="A155" s="225" t="n"/>
      <c r="B155" s="225" t="n"/>
      <c r="C155" s="225" t="n"/>
      <c r="D155" s="226" t="n"/>
      <c r="E155" s="225" t="n"/>
      <c r="F155" s="226" t="n"/>
      <c r="G155" s="225" t="n"/>
      <c r="H155" s="225" t="n"/>
      <c r="I155" s="225" t="n"/>
      <c r="J155" s="225" t="n"/>
      <c r="K155" s="225" t="n"/>
      <c r="L155" s="225" t="n"/>
      <c r="M155" s="225" t="n"/>
      <c r="N155" s="15">
        <f>IFERROR(IF(OR(J155="已破獲未移送",J155="已移送"),"是","否"),"")</f>
        <v/>
      </c>
      <c r="O155" s="15">
        <f>IFERROR(IF(D155="","",YEAR(D155)-1911),"")</f>
        <v/>
      </c>
      <c r="P155" s="15">
        <f>IFERROR(INDEX(案類分類清單,MATCH(B155,案類名稱清單,0)),"")</f>
        <v/>
      </c>
      <c r="Q155" s="15">
        <f>IFERROR(INDEX(納入全般清單,MATCH(B155,案類名稱清單,0)),"否")</f>
        <v/>
      </c>
      <c r="R155" s="15">
        <f>IFERROR(O155*10000+IFERROR(MATCH(J155,{"尚未偵破","已破獲未移送","已移送","簽結"},0),0)*100+ROW(),0)</f>
        <v/>
      </c>
      <c r="S155" s="225" t="n"/>
      <c r="T155" s="15">
        <f>IFERROR(IF(S155="","是","否"),"是")</f>
        <v/>
      </c>
      <c r="U155" s="225" t="n"/>
    </row>
    <row r="156" ht="30" customHeight="1">
      <c r="A156" s="225" t="n"/>
      <c r="B156" s="225" t="n"/>
      <c r="C156" s="225" t="n"/>
      <c r="D156" s="226" t="n"/>
      <c r="E156" s="225" t="n"/>
      <c r="F156" s="226" t="n"/>
      <c r="G156" s="225" t="n"/>
      <c r="H156" s="225" t="n"/>
      <c r="I156" s="225" t="n"/>
      <c r="J156" s="225" t="n"/>
      <c r="K156" s="225" t="n"/>
      <c r="L156" s="225" t="n"/>
      <c r="M156" s="225" t="n"/>
      <c r="N156" s="15">
        <f>IFERROR(IF(OR(J156="已破獲未移送",J156="已移送"),"是","否"),"")</f>
        <v/>
      </c>
      <c r="O156" s="15">
        <f>IFERROR(IF(D156="","",YEAR(D156)-1911),"")</f>
        <v/>
      </c>
      <c r="P156" s="15">
        <f>IFERROR(INDEX(案類分類清單,MATCH(B156,案類名稱清單,0)),"")</f>
        <v/>
      </c>
      <c r="Q156" s="15">
        <f>IFERROR(INDEX(納入全般清單,MATCH(B156,案類名稱清單,0)),"否")</f>
        <v/>
      </c>
      <c r="R156" s="15">
        <f>IFERROR(O156*10000+IFERROR(MATCH(J156,{"尚未偵破","已破獲未移送","已移送","簽結"},0),0)*100+ROW(),0)</f>
        <v/>
      </c>
      <c r="S156" s="225" t="n"/>
      <c r="T156" s="15">
        <f>IFERROR(IF(S156="","是","否"),"是")</f>
        <v/>
      </c>
      <c r="U156" s="225" t="n"/>
    </row>
    <row r="157" ht="30" customHeight="1">
      <c r="A157" s="225" t="n"/>
      <c r="B157" s="225" t="n"/>
      <c r="C157" s="225" t="n"/>
      <c r="D157" s="226" t="n"/>
      <c r="E157" s="225" t="n"/>
      <c r="F157" s="226" t="n"/>
      <c r="G157" s="225" t="n"/>
      <c r="H157" s="225" t="n"/>
      <c r="I157" s="225" t="n"/>
      <c r="J157" s="225" t="n"/>
      <c r="K157" s="225" t="n"/>
      <c r="L157" s="225" t="n"/>
      <c r="M157" s="225" t="n"/>
      <c r="N157" s="15">
        <f>IFERROR(IF(OR(J157="已破獲未移送",J157="已移送"),"是","否"),"")</f>
        <v/>
      </c>
      <c r="O157" s="15">
        <f>IFERROR(IF(D157="","",YEAR(D157)-1911),"")</f>
        <v/>
      </c>
      <c r="P157" s="15">
        <f>IFERROR(INDEX(案類分類清單,MATCH(B157,案類名稱清單,0)),"")</f>
        <v/>
      </c>
      <c r="Q157" s="15">
        <f>IFERROR(INDEX(納入全般清單,MATCH(B157,案類名稱清單,0)),"否")</f>
        <v/>
      </c>
      <c r="R157" s="15">
        <f>IFERROR(O157*10000+IFERROR(MATCH(J157,{"尚未偵破","已破獲未移送","已移送","簽結"},0),0)*100+ROW(),0)</f>
        <v/>
      </c>
      <c r="S157" s="225" t="n"/>
      <c r="T157" s="15">
        <f>IFERROR(IF(S157="","是","否"),"是")</f>
        <v/>
      </c>
      <c r="U157" s="225" t="n"/>
    </row>
    <row r="158" ht="30" customHeight="1">
      <c r="A158" s="225" t="n"/>
      <c r="B158" s="225" t="n"/>
      <c r="C158" s="225" t="n"/>
      <c r="D158" s="226" t="n"/>
      <c r="E158" s="225" t="n"/>
      <c r="F158" s="226" t="n"/>
      <c r="G158" s="225" t="n"/>
      <c r="H158" s="225" t="n"/>
      <c r="I158" s="225" t="n"/>
      <c r="J158" s="225" t="n"/>
      <c r="K158" s="225" t="n"/>
      <c r="L158" s="225" t="n"/>
      <c r="M158" s="225" t="n"/>
      <c r="N158" s="15">
        <f>IFERROR(IF(OR(J158="已破獲未移送",J158="已移送"),"是","否"),"")</f>
        <v/>
      </c>
      <c r="O158" s="15">
        <f>IFERROR(IF(D158="","",YEAR(D158)-1911),"")</f>
        <v/>
      </c>
      <c r="P158" s="15">
        <f>IFERROR(INDEX(案類分類清單,MATCH(B158,案類名稱清單,0)),"")</f>
        <v/>
      </c>
      <c r="Q158" s="15">
        <f>IFERROR(INDEX(納入全般清單,MATCH(B158,案類名稱清單,0)),"否")</f>
        <v/>
      </c>
      <c r="R158" s="15">
        <f>IFERROR(O158*10000+IFERROR(MATCH(J158,{"尚未偵破","已破獲未移送","已移送","簽結"},0),0)*100+ROW(),0)</f>
        <v/>
      </c>
      <c r="S158" s="225" t="n"/>
      <c r="T158" s="15">
        <f>IFERROR(IF(S158="","是","否"),"是")</f>
        <v/>
      </c>
      <c r="U158" s="225" t="n"/>
    </row>
    <row r="159" ht="30" customHeight="1">
      <c r="A159" s="225" t="n"/>
      <c r="B159" s="225" t="n"/>
      <c r="C159" s="225" t="n"/>
      <c r="D159" s="226" t="n"/>
      <c r="E159" s="225" t="n"/>
      <c r="F159" s="226" t="n"/>
      <c r="G159" s="225" t="n"/>
      <c r="H159" s="225" t="n"/>
      <c r="I159" s="225" t="n"/>
      <c r="J159" s="225" t="n"/>
      <c r="K159" s="225" t="n"/>
      <c r="L159" s="225" t="n"/>
      <c r="M159" s="225" t="n"/>
      <c r="N159" s="15">
        <f>IFERROR(IF(OR(J159="已破獲未移送",J159="已移送"),"是","否"),"")</f>
        <v/>
      </c>
      <c r="O159" s="15">
        <f>IFERROR(IF(D159="","",YEAR(D159)-1911),"")</f>
        <v/>
      </c>
      <c r="P159" s="15">
        <f>IFERROR(INDEX(案類分類清單,MATCH(B159,案類名稱清單,0)),"")</f>
        <v/>
      </c>
      <c r="Q159" s="15">
        <f>IFERROR(INDEX(納入全般清單,MATCH(B159,案類名稱清單,0)),"否")</f>
        <v/>
      </c>
      <c r="R159" s="15">
        <f>IFERROR(O159*10000+IFERROR(MATCH(J159,{"尚未偵破","已破獲未移送","已移送","簽結"},0),0)*100+ROW(),0)</f>
        <v/>
      </c>
      <c r="S159" s="225" t="n"/>
      <c r="T159" s="15">
        <f>IFERROR(IF(S159="","是","否"),"是")</f>
        <v/>
      </c>
      <c r="U159" s="225" t="n"/>
    </row>
    <row r="160" ht="30" customHeight="1">
      <c r="A160" s="225" t="n"/>
      <c r="B160" s="225" t="n"/>
      <c r="C160" s="225" t="n"/>
      <c r="D160" s="226" t="n"/>
      <c r="E160" s="225" t="n"/>
      <c r="F160" s="226" t="n"/>
      <c r="G160" s="225" t="n"/>
      <c r="H160" s="225" t="n"/>
      <c r="I160" s="225" t="n"/>
      <c r="J160" s="225" t="n"/>
      <c r="K160" s="225" t="n"/>
      <c r="L160" s="225" t="n"/>
      <c r="M160" s="225" t="n"/>
      <c r="N160" s="15">
        <f>IFERROR(IF(OR(J160="已破獲未移送",J160="已移送"),"是","否"),"")</f>
        <v/>
      </c>
      <c r="O160" s="15">
        <f>IFERROR(IF(D160="","",YEAR(D160)-1911),"")</f>
        <v/>
      </c>
      <c r="P160" s="15">
        <f>IFERROR(INDEX(案類分類清單,MATCH(B160,案類名稱清單,0)),"")</f>
        <v/>
      </c>
      <c r="Q160" s="15">
        <f>IFERROR(INDEX(納入全般清單,MATCH(B160,案類名稱清單,0)),"否")</f>
        <v/>
      </c>
      <c r="R160" s="15">
        <f>IFERROR(O160*10000+IFERROR(MATCH(J160,{"尚未偵破","已破獲未移送","已移送","簽結"},0),0)*100+ROW(),0)</f>
        <v/>
      </c>
      <c r="S160" s="225" t="n"/>
      <c r="T160" s="15">
        <f>IFERROR(IF(S160="","是","否"),"是")</f>
        <v/>
      </c>
      <c r="U160" s="225" t="n"/>
    </row>
    <row r="161" ht="30" customHeight="1">
      <c r="A161" s="225" t="n"/>
      <c r="B161" s="225" t="n"/>
      <c r="C161" s="225" t="n"/>
      <c r="D161" s="226" t="n"/>
      <c r="E161" s="225" t="n"/>
      <c r="F161" s="226" t="n"/>
      <c r="G161" s="225" t="n"/>
      <c r="H161" s="225" t="n"/>
      <c r="I161" s="225" t="n"/>
      <c r="J161" s="225" t="n"/>
      <c r="K161" s="225" t="n"/>
      <c r="L161" s="225" t="n"/>
      <c r="M161" s="225" t="n"/>
      <c r="N161" s="15">
        <f>IFERROR(IF(OR(J161="已破獲未移送",J161="已移送"),"是","否"),"")</f>
        <v/>
      </c>
      <c r="O161" s="15">
        <f>IFERROR(IF(D161="","",YEAR(D161)-1911),"")</f>
        <v/>
      </c>
      <c r="P161" s="15">
        <f>IFERROR(INDEX(案類分類清單,MATCH(B161,案類名稱清單,0)),"")</f>
        <v/>
      </c>
      <c r="Q161" s="15">
        <f>IFERROR(INDEX(納入全般清單,MATCH(B161,案類名稱清單,0)),"否")</f>
        <v/>
      </c>
      <c r="R161" s="15">
        <f>IFERROR(O161*10000+IFERROR(MATCH(J161,{"尚未偵破","已破獲未移送","已移送","簽結"},0),0)*100+ROW(),0)</f>
        <v/>
      </c>
      <c r="S161" s="225" t="n"/>
      <c r="T161" s="15">
        <f>IFERROR(IF(S161="","是","否"),"是")</f>
        <v/>
      </c>
      <c r="U161" s="225" t="n"/>
    </row>
    <row r="162" ht="30" customHeight="1">
      <c r="A162" s="225" t="n"/>
      <c r="B162" s="225" t="n"/>
      <c r="C162" s="225" t="n"/>
      <c r="D162" s="226" t="n"/>
      <c r="E162" s="225" t="n"/>
      <c r="F162" s="226" t="n"/>
      <c r="G162" s="225" t="n"/>
      <c r="H162" s="225" t="n"/>
      <c r="I162" s="225" t="n"/>
      <c r="J162" s="225" t="n"/>
      <c r="K162" s="225" t="n"/>
      <c r="L162" s="225" t="n"/>
      <c r="M162" s="225" t="n"/>
      <c r="N162" s="15">
        <f>IFERROR(IF(OR(J162="已破獲未移送",J162="已移送"),"是","否"),"")</f>
        <v/>
      </c>
      <c r="O162" s="15">
        <f>IFERROR(IF(D162="","",YEAR(D162)-1911),"")</f>
        <v/>
      </c>
      <c r="P162" s="15">
        <f>IFERROR(INDEX(案類分類清單,MATCH(B162,案類名稱清單,0)),"")</f>
        <v/>
      </c>
      <c r="Q162" s="15">
        <f>IFERROR(INDEX(納入全般清單,MATCH(B162,案類名稱清單,0)),"否")</f>
        <v/>
      </c>
      <c r="R162" s="15">
        <f>IFERROR(O162*10000+IFERROR(MATCH(J162,{"尚未偵破","已破獲未移送","已移送","簽結"},0),0)*100+ROW(),0)</f>
        <v/>
      </c>
      <c r="S162" s="225" t="n"/>
      <c r="T162" s="15">
        <f>IFERROR(IF(S162="","是","否"),"是")</f>
        <v/>
      </c>
      <c r="U162" s="225" t="n"/>
    </row>
    <row r="163" ht="30" customHeight="1">
      <c r="A163" s="225" t="n"/>
      <c r="B163" s="225" t="n"/>
      <c r="C163" s="225" t="n"/>
      <c r="D163" s="226" t="n"/>
      <c r="E163" s="225" t="n"/>
      <c r="F163" s="226" t="n"/>
      <c r="G163" s="225" t="n"/>
      <c r="H163" s="225" t="n"/>
      <c r="I163" s="225" t="n"/>
      <c r="J163" s="225" t="n"/>
      <c r="K163" s="225" t="n"/>
      <c r="L163" s="225" t="n"/>
      <c r="M163" s="225" t="n"/>
      <c r="N163" s="15">
        <f>IFERROR(IF(OR(J163="已破獲未移送",J163="已移送"),"是","否"),"")</f>
        <v/>
      </c>
      <c r="O163" s="15">
        <f>IFERROR(IF(D163="","",YEAR(D163)-1911),"")</f>
        <v/>
      </c>
      <c r="P163" s="15">
        <f>IFERROR(INDEX(案類分類清單,MATCH(B163,案類名稱清單,0)),"")</f>
        <v/>
      </c>
      <c r="Q163" s="15">
        <f>IFERROR(INDEX(納入全般清單,MATCH(B163,案類名稱清單,0)),"否")</f>
        <v/>
      </c>
      <c r="R163" s="15">
        <f>IFERROR(O163*10000+IFERROR(MATCH(J163,{"尚未偵破","已破獲未移送","已移送","簽結"},0),0)*100+ROW(),0)</f>
        <v/>
      </c>
      <c r="S163" s="225" t="n"/>
      <c r="T163" s="15">
        <f>IFERROR(IF(S163="","是","否"),"是")</f>
        <v/>
      </c>
      <c r="U163" s="225" t="n"/>
    </row>
    <row r="164" ht="30" customHeight="1">
      <c r="A164" s="225" t="n"/>
      <c r="B164" s="225" t="n"/>
      <c r="C164" s="225" t="n"/>
      <c r="D164" s="226" t="n"/>
      <c r="E164" s="225" t="n"/>
      <c r="F164" s="226" t="n"/>
      <c r="G164" s="225" t="n"/>
      <c r="H164" s="225" t="n"/>
      <c r="I164" s="225" t="n"/>
      <c r="J164" s="225" t="n"/>
      <c r="K164" s="225" t="n"/>
      <c r="L164" s="225" t="n"/>
      <c r="M164" s="225" t="n"/>
      <c r="N164" s="15">
        <f>IFERROR(IF(OR(J164="已破獲未移送",J164="已移送"),"是","否"),"")</f>
        <v/>
      </c>
      <c r="O164" s="15">
        <f>IFERROR(IF(D164="","",YEAR(D164)-1911),"")</f>
        <v/>
      </c>
      <c r="P164" s="15">
        <f>IFERROR(INDEX(案類分類清單,MATCH(B164,案類名稱清單,0)),"")</f>
        <v/>
      </c>
      <c r="Q164" s="15">
        <f>IFERROR(INDEX(納入全般清單,MATCH(B164,案類名稱清單,0)),"否")</f>
        <v/>
      </c>
      <c r="R164" s="15">
        <f>IFERROR(O164*10000+IFERROR(MATCH(J164,{"尚未偵破","已破獲未移送","已移送","簽結"},0),0)*100+ROW(),0)</f>
        <v/>
      </c>
      <c r="S164" s="225" t="n"/>
      <c r="T164" s="15">
        <f>IFERROR(IF(S164="","是","否"),"是")</f>
        <v/>
      </c>
      <c r="U164" s="225" t="n"/>
    </row>
    <row r="165" ht="30" customHeight="1">
      <c r="A165" s="225" t="n"/>
      <c r="B165" s="225" t="n"/>
      <c r="C165" s="225" t="n"/>
      <c r="D165" s="226" t="n"/>
      <c r="E165" s="225" t="n"/>
      <c r="F165" s="226" t="n"/>
      <c r="G165" s="225" t="n"/>
      <c r="H165" s="225" t="n"/>
      <c r="I165" s="225" t="n"/>
      <c r="J165" s="225" t="n"/>
      <c r="K165" s="225" t="n"/>
      <c r="L165" s="225" t="n"/>
      <c r="M165" s="225" t="n"/>
      <c r="N165" s="15">
        <f>IFERROR(IF(OR(J165="已破獲未移送",J165="已移送"),"是","否"),"")</f>
        <v/>
      </c>
      <c r="O165" s="15">
        <f>IFERROR(IF(D165="","",YEAR(D165)-1911),"")</f>
        <v/>
      </c>
      <c r="P165" s="15">
        <f>IFERROR(INDEX(案類分類清單,MATCH(B165,案類名稱清單,0)),"")</f>
        <v/>
      </c>
      <c r="Q165" s="15">
        <f>IFERROR(INDEX(納入全般清單,MATCH(B165,案類名稱清單,0)),"否")</f>
        <v/>
      </c>
      <c r="R165" s="15">
        <f>IFERROR(O165*10000+IFERROR(MATCH(J165,{"尚未偵破","已破獲未移送","已移送","簽結"},0),0)*100+ROW(),0)</f>
        <v/>
      </c>
      <c r="S165" s="225" t="n"/>
      <c r="T165" s="15">
        <f>IFERROR(IF(S165="","是","否"),"是")</f>
        <v/>
      </c>
      <c r="U165" s="225" t="n"/>
    </row>
    <row r="166" ht="30" customHeight="1">
      <c r="A166" s="225" t="n"/>
      <c r="B166" s="225" t="n"/>
      <c r="C166" s="225" t="n"/>
      <c r="D166" s="226" t="n"/>
      <c r="E166" s="225" t="n"/>
      <c r="F166" s="226" t="n"/>
      <c r="G166" s="225" t="n"/>
      <c r="H166" s="225" t="n"/>
      <c r="I166" s="225" t="n"/>
      <c r="J166" s="225" t="n"/>
      <c r="K166" s="225" t="n"/>
      <c r="L166" s="225" t="n"/>
      <c r="M166" s="225" t="n"/>
      <c r="N166" s="15">
        <f>IFERROR(IF(OR(J166="已破獲未移送",J166="已移送"),"是","否"),"")</f>
        <v/>
      </c>
      <c r="O166" s="15">
        <f>IFERROR(IF(D166="","",YEAR(D166)-1911),"")</f>
        <v/>
      </c>
      <c r="P166" s="15">
        <f>IFERROR(INDEX(案類分類清單,MATCH(B166,案類名稱清單,0)),"")</f>
        <v/>
      </c>
      <c r="Q166" s="15">
        <f>IFERROR(INDEX(納入全般清單,MATCH(B166,案類名稱清單,0)),"否")</f>
        <v/>
      </c>
      <c r="R166" s="15">
        <f>IFERROR(O166*10000+IFERROR(MATCH(J166,{"尚未偵破","已破獲未移送","已移送","簽結"},0),0)*100+ROW(),0)</f>
        <v/>
      </c>
      <c r="S166" s="225" t="n"/>
      <c r="T166" s="15">
        <f>IFERROR(IF(S166="","是","否"),"是")</f>
        <v/>
      </c>
      <c r="U166" s="225" t="n"/>
    </row>
    <row r="167" ht="30" customHeight="1">
      <c r="A167" s="225" t="n"/>
      <c r="B167" s="225" t="n"/>
      <c r="C167" s="225" t="n"/>
      <c r="D167" s="226" t="n"/>
      <c r="E167" s="225" t="n"/>
      <c r="F167" s="226" t="n"/>
      <c r="G167" s="225" t="n"/>
      <c r="H167" s="225" t="n"/>
      <c r="I167" s="225" t="n"/>
      <c r="J167" s="225" t="n"/>
      <c r="K167" s="225" t="n"/>
      <c r="L167" s="225" t="n"/>
      <c r="M167" s="225" t="n"/>
      <c r="N167" s="15">
        <f>IFERROR(IF(OR(J167="已破獲未移送",J167="已移送"),"是","否"),"")</f>
        <v/>
      </c>
      <c r="O167" s="15">
        <f>IFERROR(IF(D167="","",YEAR(D167)-1911),"")</f>
        <v/>
      </c>
      <c r="P167" s="15">
        <f>IFERROR(INDEX(案類分類清單,MATCH(B167,案類名稱清單,0)),"")</f>
        <v/>
      </c>
      <c r="Q167" s="15">
        <f>IFERROR(INDEX(納入全般清單,MATCH(B167,案類名稱清單,0)),"否")</f>
        <v/>
      </c>
      <c r="R167" s="15">
        <f>IFERROR(O167*10000+IFERROR(MATCH(J167,{"尚未偵破","已破獲未移送","已移送","簽結"},0),0)*100+ROW(),0)</f>
        <v/>
      </c>
      <c r="S167" s="225" t="n"/>
      <c r="T167" s="15">
        <f>IFERROR(IF(S167="","是","否"),"是")</f>
        <v/>
      </c>
      <c r="U167" s="225" t="n"/>
    </row>
    <row r="168" ht="30" customHeight="1">
      <c r="A168" s="225" t="n"/>
      <c r="B168" s="225" t="n"/>
      <c r="C168" s="225" t="n"/>
      <c r="D168" s="226" t="n"/>
      <c r="E168" s="225" t="n"/>
      <c r="F168" s="226" t="n"/>
      <c r="G168" s="225" t="n"/>
      <c r="H168" s="225" t="n"/>
      <c r="I168" s="225" t="n"/>
      <c r="J168" s="225" t="n"/>
      <c r="K168" s="225" t="n"/>
      <c r="L168" s="225" t="n"/>
      <c r="M168" s="225" t="n"/>
      <c r="N168" s="15">
        <f>IFERROR(IF(OR(J168="已破獲未移送",J168="已移送"),"是","否"),"")</f>
        <v/>
      </c>
      <c r="O168" s="15">
        <f>IFERROR(IF(D168="","",YEAR(D168)-1911),"")</f>
        <v/>
      </c>
      <c r="P168" s="15">
        <f>IFERROR(INDEX(案類分類清單,MATCH(B168,案類名稱清單,0)),"")</f>
        <v/>
      </c>
      <c r="Q168" s="15">
        <f>IFERROR(INDEX(納入全般清單,MATCH(B168,案類名稱清單,0)),"否")</f>
        <v/>
      </c>
      <c r="R168" s="15">
        <f>IFERROR(O168*10000+IFERROR(MATCH(J168,{"尚未偵破","已破獲未移送","已移送","簽結"},0),0)*100+ROW(),0)</f>
        <v/>
      </c>
      <c r="S168" s="225" t="n"/>
      <c r="T168" s="15">
        <f>IFERROR(IF(S168="","是","否"),"是")</f>
        <v/>
      </c>
      <c r="U168" s="225" t="n"/>
    </row>
    <row r="169" ht="30" customHeight="1">
      <c r="A169" s="225" t="n"/>
      <c r="B169" s="225" t="n"/>
      <c r="C169" s="225" t="n"/>
      <c r="D169" s="226" t="n"/>
      <c r="E169" s="225" t="n"/>
      <c r="F169" s="226" t="n"/>
      <c r="G169" s="225" t="n"/>
      <c r="H169" s="225" t="n"/>
      <c r="I169" s="225" t="n"/>
      <c r="J169" s="225" t="n"/>
      <c r="K169" s="225" t="n"/>
      <c r="L169" s="225" t="n"/>
      <c r="M169" s="225" t="n"/>
      <c r="N169" s="15">
        <f>IFERROR(IF(OR(J169="已破獲未移送",J169="已移送"),"是","否"),"")</f>
        <v/>
      </c>
      <c r="O169" s="15">
        <f>IFERROR(IF(D169="","",YEAR(D169)-1911),"")</f>
        <v/>
      </c>
      <c r="P169" s="15">
        <f>IFERROR(INDEX(案類分類清單,MATCH(B169,案類名稱清單,0)),"")</f>
        <v/>
      </c>
      <c r="Q169" s="15">
        <f>IFERROR(INDEX(納入全般清單,MATCH(B169,案類名稱清單,0)),"否")</f>
        <v/>
      </c>
      <c r="R169" s="15">
        <f>IFERROR(O169*10000+IFERROR(MATCH(J169,{"尚未偵破","已破獲未移送","已移送","簽結"},0),0)*100+ROW(),0)</f>
        <v/>
      </c>
      <c r="S169" s="225" t="n"/>
      <c r="T169" s="15">
        <f>IFERROR(IF(S169="","是","否"),"是")</f>
        <v/>
      </c>
      <c r="U169" s="225" t="n"/>
    </row>
    <row r="170" ht="30" customHeight="1">
      <c r="A170" s="225" t="n"/>
      <c r="B170" s="225" t="n"/>
      <c r="C170" s="225" t="n"/>
      <c r="D170" s="226" t="n"/>
      <c r="E170" s="225" t="n"/>
      <c r="F170" s="226" t="n"/>
      <c r="G170" s="225" t="n"/>
      <c r="H170" s="225" t="n"/>
      <c r="I170" s="225" t="n"/>
      <c r="J170" s="225" t="n"/>
      <c r="K170" s="225" t="n"/>
      <c r="L170" s="225" t="n"/>
      <c r="M170" s="225" t="n"/>
      <c r="N170" s="15">
        <f>IFERROR(IF(OR(J170="已破獲未移送",J170="已移送"),"是","否"),"")</f>
        <v/>
      </c>
      <c r="O170" s="15">
        <f>IFERROR(IF(D170="","",YEAR(D170)-1911),"")</f>
        <v/>
      </c>
      <c r="P170" s="15">
        <f>IFERROR(INDEX(案類分類清單,MATCH(B170,案類名稱清單,0)),"")</f>
        <v/>
      </c>
      <c r="Q170" s="15">
        <f>IFERROR(INDEX(納入全般清單,MATCH(B170,案類名稱清單,0)),"否")</f>
        <v/>
      </c>
      <c r="R170" s="15">
        <f>IFERROR(O170*10000+IFERROR(MATCH(J170,{"尚未偵破","已破獲未移送","已移送","簽結"},0),0)*100+ROW(),0)</f>
        <v/>
      </c>
      <c r="S170" s="225" t="n"/>
      <c r="T170" s="15">
        <f>IFERROR(IF(S170="","是","否"),"是")</f>
        <v/>
      </c>
      <c r="U170" s="225" t="n"/>
    </row>
    <row r="171" ht="30" customHeight="1">
      <c r="A171" s="225" t="n"/>
      <c r="B171" s="225" t="n"/>
      <c r="C171" s="225" t="n"/>
      <c r="D171" s="226" t="n"/>
      <c r="E171" s="225" t="n"/>
      <c r="F171" s="226" t="n"/>
      <c r="G171" s="225" t="n"/>
      <c r="H171" s="225" t="n"/>
      <c r="I171" s="225" t="n"/>
      <c r="J171" s="225" t="n"/>
      <c r="K171" s="225" t="n"/>
      <c r="L171" s="225" t="n"/>
      <c r="M171" s="225" t="n"/>
      <c r="N171" s="15">
        <f>IFERROR(IF(OR(J171="已破獲未移送",J171="已移送"),"是","否"),"")</f>
        <v/>
      </c>
      <c r="O171" s="15">
        <f>IFERROR(IF(D171="","",YEAR(D171)-1911),"")</f>
        <v/>
      </c>
      <c r="P171" s="15">
        <f>IFERROR(INDEX(案類分類清單,MATCH(B171,案類名稱清單,0)),"")</f>
        <v/>
      </c>
      <c r="Q171" s="15">
        <f>IFERROR(INDEX(納入全般清單,MATCH(B171,案類名稱清單,0)),"否")</f>
        <v/>
      </c>
      <c r="R171" s="15">
        <f>IFERROR(O171*10000+IFERROR(MATCH(J171,{"尚未偵破","已破獲未移送","已移送","簽結"},0),0)*100+ROW(),0)</f>
        <v/>
      </c>
      <c r="S171" s="225" t="n"/>
      <c r="T171" s="15">
        <f>IFERROR(IF(S171="","是","否"),"是")</f>
        <v/>
      </c>
      <c r="U171" s="225" t="n"/>
    </row>
    <row r="172" ht="30" customHeight="1">
      <c r="A172" s="225" t="n"/>
      <c r="B172" s="225" t="n"/>
      <c r="C172" s="225" t="n"/>
      <c r="D172" s="226" t="n"/>
      <c r="E172" s="225" t="n"/>
      <c r="F172" s="226" t="n"/>
      <c r="G172" s="225" t="n"/>
      <c r="H172" s="225" t="n"/>
      <c r="I172" s="225" t="n"/>
      <c r="J172" s="225" t="n"/>
      <c r="K172" s="225" t="n"/>
      <c r="L172" s="225" t="n"/>
      <c r="M172" s="225" t="n"/>
      <c r="N172" s="15">
        <f>IFERROR(IF(OR(J172="已破獲未移送",J172="已移送"),"是","否"),"")</f>
        <v/>
      </c>
      <c r="O172" s="15">
        <f>IFERROR(IF(D172="","",YEAR(D172)-1911),"")</f>
        <v/>
      </c>
      <c r="P172" s="15">
        <f>IFERROR(INDEX(案類分類清單,MATCH(B172,案類名稱清單,0)),"")</f>
        <v/>
      </c>
      <c r="Q172" s="15">
        <f>IFERROR(INDEX(納入全般清單,MATCH(B172,案類名稱清單,0)),"否")</f>
        <v/>
      </c>
      <c r="R172" s="15">
        <f>IFERROR(O172*10000+IFERROR(MATCH(J172,{"尚未偵破","已破獲未移送","已移送","簽結"},0),0)*100+ROW(),0)</f>
        <v/>
      </c>
      <c r="S172" s="225" t="n"/>
      <c r="T172" s="15">
        <f>IFERROR(IF(S172="","是","否"),"是")</f>
        <v/>
      </c>
      <c r="U172" s="225" t="n"/>
    </row>
    <row r="173" ht="30" customHeight="1">
      <c r="A173" s="225" t="n"/>
      <c r="B173" s="225" t="n"/>
      <c r="C173" s="225" t="n"/>
      <c r="D173" s="226" t="n"/>
      <c r="E173" s="225" t="n"/>
      <c r="F173" s="226" t="n"/>
      <c r="G173" s="225" t="n"/>
      <c r="H173" s="225" t="n"/>
      <c r="I173" s="225" t="n"/>
      <c r="J173" s="225" t="n"/>
      <c r="K173" s="225" t="n"/>
      <c r="L173" s="225" t="n"/>
      <c r="M173" s="225" t="n"/>
      <c r="N173" s="15">
        <f>IFERROR(IF(OR(J173="已破獲未移送",J173="已移送"),"是","否"),"")</f>
        <v/>
      </c>
      <c r="O173" s="15">
        <f>IFERROR(IF(D173="","",YEAR(D173)-1911),"")</f>
        <v/>
      </c>
      <c r="P173" s="15">
        <f>IFERROR(INDEX(案類分類清單,MATCH(B173,案類名稱清單,0)),"")</f>
        <v/>
      </c>
      <c r="Q173" s="15">
        <f>IFERROR(INDEX(納入全般清單,MATCH(B173,案類名稱清單,0)),"否")</f>
        <v/>
      </c>
      <c r="R173" s="15">
        <f>IFERROR(O173*10000+IFERROR(MATCH(J173,{"尚未偵破","已破獲未移送","已移送","簽結"},0),0)*100+ROW(),0)</f>
        <v/>
      </c>
      <c r="S173" s="225" t="n"/>
      <c r="T173" s="15">
        <f>IFERROR(IF(S173="","是","否"),"是")</f>
        <v/>
      </c>
      <c r="U173" s="225" t="n"/>
    </row>
    <row r="174" ht="30" customHeight="1">
      <c r="A174" s="225" t="n"/>
      <c r="B174" s="225" t="n"/>
      <c r="C174" s="225" t="n"/>
      <c r="D174" s="226" t="n"/>
      <c r="E174" s="225" t="n"/>
      <c r="F174" s="226" t="n"/>
      <c r="G174" s="225" t="n"/>
      <c r="H174" s="225" t="n"/>
      <c r="I174" s="225" t="n"/>
      <c r="J174" s="225" t="n"/>
      <c r="K174" s="225" t="n"/>
      <c r="L174" s="225" t="n"/>
      <c r="M174" s="225" t="n"/>
      <c r="N174" s="15">
        <f>IFERROR(IF(OR(J174="已破獲未移送",J174="已移送"),"是","否"),"")</f>
        <v/>
      </c>
      <c r="O174" s="15">
        <f>IFERROR(IF(D174="","",YEAR(D174)-1911),"")</f>
        <v/>
      </c>
      <c r="P174" s="15">
        <f>IFERROR(INDEX(案類分類清單,MATCH(B174,案類名稱清單,0)),"")</f>
        <v/>
      </c>
      <c r="Q174" s="15">
        <f>IFERROR(INDEX(納入全般清單,MATCH(B174,案類名稱清單,0)),"否")</f>
        <v/>
      </c>
      <c r="R174" s="15">
        <f>IFERROR(O174*10000+IFERROR(MATCH(J174,{"尚未偵破","已破獲未移送","已移送","簽結"},0),0)*100+ROW(),0)</f>
        <v/>
      </c>
      <c r="S174" s="225" t="n"/>
      <c r="T174" s="15">
        <f>IFERROR(IF(S174="","是","否"),"是")</f>
        <v/>
      </c>
      <c r="U174" s="225" t="n"/>
    </row>
    <row r="175" ht="30" customHeight="1">
      <c r="A175" s="225" t="n"/>
      <c r="B175" s="225" t="n"/>
      <c r="C175" s="225" t="n"/>
      <c r="D175" s="226" t="n"/>
      <c r="E175" s="225" t="n"/>
      <c r="F175" s="226" t="n"/>
      <c r="G175" s="225" t="n"/>
      <c r="H175" s="225" t="n"/>
      <c r="I175" s="225" t="n"/>
      <c r="J175" s="225" t="n"/>
      <c r="K175" s="225" t="n"/>
      <c r="L175" s="225" t="n"/>
      <c r="M175" s="225" t="n"/>
      <c r="N175" s="15">
        <f>IFERROR(IF(OR(J175="已破獲未移送",J175="已移送"),"是","否"),"")</f>
        <v/>
      </c>
      <c r="O175" s="15">
        <f>IFERROR(IF(D175="","",YEAR(D175)-1911),"")</f>
        <v/>
      </c>
      <c r="P175" s="15">
        <f>IFERROR(INDEX(案類分類清單,MATCH(B175,案類名稱清單,0)),"")</f>
        <v/>
      </c>
      <c r="Q175" s="15">
        <f>IFERROR(INDEX(納入全般清單,MATCH(B175,案類名稱清單,0)),"否")</f>
        <v/>
      </c>
      <c r="R175" s="15">
        <f>IFERROR(O175*10000+IFERROR(MATCH(J175,{"尚未偵破","已破獲未移送","已移送","簽結"},0),0)*100+ROW(),0)</f>
        <v/>
      </c>
      <c r="S175" s="225" t="n"/>
      <c r="T175" s="15">
        <f>IFERROR(IF(S175="","是","否"),"是")</f>
        <v/>
      </c>
      <c r="U175" s="225" t="n"/>
    </row>
    <row r="176" ht="30" customHeight="1">
      <c r="A176" s="225" t="n"/>
      <c r="B176" s="225" t="n"/>
      <c r="C176" s="225" t="n"/>
      <c r="D176" s="226" t="n"/>
      <c r="E176" s="225" t="n"/>
      <c r="F176" s="226" t="n"/>
      <c r="G176" s="225" t="n"/>
      <c r="H176" s="225" t="n"/>
      <c r="I176" s="225" t="n"/>
      <c r="J176" s="225" t="n"/>
      <c r="K176" s="225" t="n"/>
      <c r="L176" s="225" t="n"/>
      <c r="M176" s="225" t="n"/>
      <c r="N176" s="15">
        <f>IFERROR(IF(OR(J176="已破獲未移送",J176="已移送"),"是","否"),"")</f>
        <v/>
      </c>
      <c r="O176" s="15">
        <f>IFERROR(IF(D176="","",YEAR(D176)-1911),"")</f>
        <v/>
      </c>
      <c r="P176" s="15">
        <f>IFERROR(INDEX(案類分類清單,MATCH(B176,案類名稱清單,0)),"")</f>
        <v/>
      </c>
      <c r="Q176" s="15">
        <f>IFERROR(INDEX(納入全般清單,MATCH(B176,案類名稱清單,0)),"否")</f>
        <v/>
      </c>
      <c r="R176" s="15">
        <f>IFERROR(O176*10000+IFERROR(MATCH(J176,{"尚未偵破","已破獲未移送","已移送","簽結"},0),0)*100+ROW(),0)</f>
        <v/>
      </c>
      <c r="S176" s="225" t="n"/>
      <c r="T176" s="15">
        <f>IFERROR(IF(S176="","是","否"),"是")</f>
        <v/>
      </c>
      <c r="U176" s="225" t="n"/>
    </row>
    <row r="177" ht="30" customHeight="1">
      <c r="A177" s="225" t="n"/>
      <c r="B177" s="225" t="n"/>
      <c r="C177" s="225" t="n"/>
      <c r="D177" s="226" t="n"/>
      <c r="E177" s="225" t="n"/>
      <c r="F177" s="226" t="n"/>
      <c r="G177" s="225" t="n"/>
      <c r="H177" s="225" t="n"/>
      <c r="I177" s="225" t="n"/>
      <c r="J177" s="225" t="n"/>
      <c r="K177" s="225" t="n"/>
      <c r="L177" s="225" t="n"/>
      <c r="M177" s="225" t="n"/>
      <c r="N177" s="15">
        <f>IFERROR(IF(OR(J177="已破獲未移送",J177="已移送"),"是","否"),"")</f>
        <v/>
      </c>
      <c r="O177" s="15">
        <f>IFERROR(IF(D177="","",YEAR(D177)-1911),"")</f>
        <v/>
      </c>
      <c r="P177" s="15">
        <f>IFERROR(INDEX(案類分類清單,MATCH(B177,案類名稱清單,0)),"")</f>
        <v/>
      </c>
      <c r="Q177" s="15">
        <f>IFERROR(INDEX(納入全般清單,MATCH(B177,案類名稱清單,0)),"否")</f>
        <v/>
      </c>
      <c r="R177" s="15">
        <f>IFERROR(O177*10000+IFERROR(MATCH(J177,{"尚未偵破","已破獲未移送","已移送","簽結"},0),0)*100+ROW(),0)</f>
        <v/>
      </c>
      <c r="S177" s="225" t="n"/>
      <c r="T177" s="15">
        <f>IFERROR(IF(S177="","是","否"),"是")</f>
        <v/>
      </c>
      <c r="U177" s="225" t="n"/>
    </row>
    <row r="178" ht="30" customHeight="1">
      <c r="A178" s="225" t="n"/>
      <c r="B178" s="225" t="n"/>
      <c r="C178" s="225" t="n"/>
      <c r="D178" s="226" t="n"/>
      <c r="E178" s="225" t="n"/>
      <c r="F178" s="226" t="n"/>
      <c r="G178" s="225" t="n"/>
      <c r="H178" s="225" t="n"/>
      <c r="I178" s="225" t="n"/>
      <c r="J178" s="225" t="n"/>
      <c r="K178" s="225" t="n"/>
      <c r="L178" s="225" t="n"/>
      <c r="M178" s="225" t="n"/>
      <c r="N178" s="15">
        <f>IFERROR(IF(OR(J178="已破獲未移送",J178="已移送"),"是","否"),"")</f>
        <v/>
      </c>
      <c r="O178" s="15">
        <f>IFERROR(IF(D178="","",YEAR(D178)-1911),"")</f>
        <v/>
      </c>
      <c r="P178" s="15">
        <f>IFERROR(INDEX(案類分類清單,MATCH(B178,案類名稱清單,0)),"")</f>
        <v/>
      </c>
      <c r="Q178" s="15">
        <f>IFERROR(INDEX(納入全般清單,MATCH(B178,案類名稱清單,0)),"否")</f>
        <v/>
      </c>
      <c r="R178" s="15">
        <f>IFERROR(O178*10000+IFERROR(MATCH(J178,{"尚未偵破","已破獲未移送","已移送","簽結"},0),0)*100+ROW(),0)</f>
        <v/>
      </c>
      <c r="S178" s="225" t="n"/>
      <c r="T178" s="15">
        <f>IFERROR(IF(S178="","是","否"),"是")</f>
        <v/>
      </c>
      <c r="U178" s="225" t="n"/>
    </row>
    <row r="179" ht="30" customHeight="1">
      <c r="A179" s="225" t="n"/>
      <c r="B179" s="225" t="n"/>
      <c r="C179" s="225" t="n"/>
      <c r="D179" s="226" t="n"/>
      <c r="E179" s="225" t="n"/>
      <c r="F179" s="226" t="n"/>
      <c r="G179" s="225" t="n"/>
      <c r="H179" s="225" t="n"/>
      <c r="I179" s="225" t="n"/>
      <c r="J179" s="225" t="n"/>
      <c r="K179" s="225" t="n"/>
      <c r="L179" s="225" t="n"/>
      <c r="M179" s="225" t="n"/>
      <c r="N179" s="15">
        <f>IFERROR(IF(OR(J179="已破獲未移送",J179="已移送"),"是","否"),"")</f>
        <v/>
      </c>
      <c r="O179" s="15">
        <f>IFERROR(IF(D179="","",YEAR(D179)-1911),"")</f>
        <v/>
      </c>
      <c r="P179" s="15">
        <f>IFERROR(INDEX(案類分類清單,MATCH(B179,案類名稱清單,0)),"")</f>
        <v/>
      </c>
      <c r="Q179" s="15">
        <f>IFERROR(INDEX(納入全般清單,MATCH(B179,案類名稱清單,0)),"否")</f>
        <v/>
      </c>
      <c r="R179" s="15">
        <f>IFERROR(O179*10000+IFERROR(MATCH(J179,{"尚未偵破","已破獲未移送","已移送","簽結"},0),0)*100+ROW(),0)</f>
        <v/>
      </c>
      <c r="S179" s="225" t="n"/>
      <c r="T179" s="15">
        <f>IFERROR(IF(S179="","是","否"),"是")</f>
        <v/>
      </c>
      <c r="U179" s="225" t="n"/>
    </row>
    <row r="180" ht="30" customHeight="1">
      <c r="A180" s="225" t="n"/>
      <c r="B180" s="225" t="n"/>
      <c r="C180" s="225" t="n"/>
      <c r="D180" s="226" t="n"/>
      <c r="E180" s="225" t="n"/>
      <c r="F180" s="226" t="n"/>
      <c r="G180" s="225" t="n"/>
      <c r="H180" s="225" t="n"/>
      <c r="I180" s="225" t="n"/>
      <c r="J180" s="225" t="n"/>
      <c r="K180" s="225" t="n"/>
      <c r="L180" s="225" t="n"/>
      <c r="M180" s="225" t="n"/>
      <c r="N180" s="15">
        <f>IFERROR(IF(OR(J180="已破獲未移送",J180="已移送"),"是","否"),"")</f>
        <v/>
      </c>
      <c r="O180" s="15">
        <f>IFERROR(IF(D180="","",YEAR(D180)-1911),"")</f>
        <v/>
      </c>
      <c r="P180" s="15">
        <f>IFERROR(INDEX(案類分類清單,MATCH(B180,案類名稱清單,0)),"")</f>
        <v/>
      </c>
      <c r="Q180" s="15">
        <f>IFERROR(INDEX(納入全般清單,MATCH(B180,案類名稱清單,0)),"否")</f>
        <v/>
      </c>
      <c r="R180" s="15">
        <f>IFERROR(O180*10000+IFERROR(MATCH(J180,{"尚未偵破","已破獲未移送","已移送","簽結"},0),0)*100+ROW(),0)</f>
        <v/>
      </c>
      <c r="S180" s="225" t="n"/>
      <c r="T180" s="15">
        <f>IFERROR(IF(S180="","是","否"),"是")</f>
        <v/>
      </c>
      <c r="U180" s="225" t="n"/>
    </row>
    <row r="181" ht="30" customHeight="1">
      <c r="A181" s="225" t="n"/>
      <c r="B181" s="225" t="n"/>
      <c r="C181" s="225" t="n"/>
      <c r="D181" s="226" t="n"/>
      <c r="E181" s="225" t="n"/>
      <c r="F181" s="226" t="n"/>
      <c r="G181" s="225" t="n"/>
      <c r="H181" s="225" t="n"/>
      <c r="I181" s="225" t="n"/>
      <c r="J181" s="225" t="n"/>
      <c r="K181" s="225" t="n"/>
      <c r="L181" s="225" t="n"/>
      <c r="M181" s="225" t="n"/>
      <c r="N181" s="15">
        <f>IFERROR(IF(OR(J181="已破獲未移送",J181="已移送"),"是","否"),"")</f>
        <v/>
      </c>
      <c r="O181" s="15">
        <f>IFERROR(IF(D181="","",YEAR(D181)-1911),"")</f>
        <v/>
      </c>
      <c r="P181" s="15">
        <f>IFERROR(INDEX(案類分類清單,MATCH(B181,案類名稱清單,0)),"")</f>
        <v/>
      </c>
      <c r="Q181" s="15">
        <f>IFERROR(INDEX(納入全般清單,MATCH(B181,案類名稱清單,0)),"否")</f>
        <v/>
      </c>
      <c r="R181" s="15">
        <f>IFERROR(O181*10000+IFERROR(MATCH(J181,{"尚未偵破","已破獲未移送","已移送","簽結"},0),0)*100+ROW(),0)</f>
        <v/>
      </c>
      <c r="S181" s="225" t="n"/>
      <c r="T181" s="15">
        <f>IFERROR(IF(S181="","是","否"),"是")</f>
        <v/>
      </c>
      <c r="U181" s="225" t="n"/>
    </row>
    <row r="182" ht="30" customHeight="1">
      <c r="A182" s="225" t="n"/>
      <c r="B182" s="225" t="n"/>
      <c r="C182" s="225" t="n"/>
      <c r="D182" s="226" t="n"/>
      <c r="E182" s="225" t="n"/>
      <c r="F182" s="226" t="n"/>
      <c r="G182" s="225" t="n"/>
      <c r="H182" s="225" t="n"/>
      <c r="I182" s="225" t="n"/>
      <c r="J182" s="225" t="n"/>
      <c r="K182" s="225" t="n"/>
      <c r="L182" s="225" t="n"/>
      <c r="M182" s="225" t="n"/>
      <c r="N182" s="15">
        <f>IFERROR(IF(OR(J182="已破獲未移送",J182="已移送"),"是","否"),"")</f>
        <v/>
      </c>
      <c r="O182" s="15">
        <f>IFERROR(IF(D182="","",YEAR(D182)-1911),"")</f>
        <v/>
      </c>
      <c r="P182" s="15">
        <f>IFERROR(INDEX(案類分類清單,MATCH(B182,案類名稱清單,0)),"")</f>
        <v/>
      </c>
      <c r="Q182" s="15">
        <f>IFERROR(INDEX(納入全般清單,MATCH(B182,案類名稱清單,0)),"否")</f>
        <v/>
      </c>
      <c r="R182" s="15">
        <f>IFERROR(O182*10000+IFERROR(MATCH(J182,{"尚未偵破","已破獲未移送","已移送","簽結"},0),0)*100+ROW(),0)</f>
        <v/>
      </c>
      <c r="S182" s="225" t="n"/>
      <c r="T182" s="15">
        <f>IFERROR(IF(S182="","是","否"),"是")</f>
        <v/>
      </c>
      <c r="U182" s="225" t="n"/>
    </row>
    <row r="183" ht="30" customHeight="1">
      <c r="A183" s="225" t="n"/>
      <c r="B183" s="225" t="n"/>
      <c r="C183" s="225" t="n"/>
      <c r="D183" s="226" t="n"/>
      <c r="E183" s="225" t="n"/>
      <c r="F183" s="226" t="n"/>
      <c r="G183" s="225" t="n"/>
      <c r="H183" s="225" t="n"/>
      <c r="I183" s="225" t="n"/>
      <c r="J183" s="225" t="n"/>
      <c r="K183" s="225" t="n"/>
      <c r="L183" s="225" t="n"/>
      <c r="M183" s="225" t="n"/>
      <c r="N183" s="15">
        <f>IFERROR(IF(OR(J183="已破獲未移送",J183="已移送"),"是","否"),"")</f>
        <v/>
      </c>
      <c r="O183" s="15">
        <f>IFERROR(IF(D183="","",YEAR(D183)-1911),"")</f>
        <v/>
      </c>
      <c r="P183" s="15">
        <f>IFERROR(INDEX(案類分類清單,MATCH(B183,案類名稱清單,0)),"")</f>
        <v/>
      </c>
      <c r="Q183" s="15">
        <f>IFERROR(INDEX(納入全般清單,MATCH(B183,案類名稱清單,0)),"否")</f>
        <v/>
      </c>
      <c r="R183" s="15">
        <f>IFERROR(O183*10000+IFERROR(MATCH(J183,{"尚未偵破","已破獲未移送","已移送","簽結"},0),0)*100+ROW(),0)</f>
        <v/>
      </c>
      <c r="S183" s="225" t="n"/>
      <c r="T183" s="15">
        <f>IFERROR(IF(S183="","是","否"),"是")</f>
        <v/>
      </c>
      <c r="U183" s="225" t="n"/>
    </row>
    <row r="184" ht="30" customHeight="1">
      <c r="A184" s="225" t="n"/>
      <c r="B184" s="225" t="n"/>
      <c r="C184" s="225" t="n"/>
      <c r="D184" s="226" t="n"/>
      <c r="E184" s="225" t="n"/>
      <c r="F184" s="226" t="n"/>
      <c r="G184" s="225" t="n"/>
      <c r="H184" s="225" t="n"/>
      <c r="I184" s="225" t="n"/>
      <c r="J184" s="225" t="n"/>
      <c r="K184" s="225" t="n"/>
      <c r="L184" s="225" t="n"/>
      <c r="M184" s="225" t="n"/>
      <c r="N184" s="15">
        <f>IFERROR(IF(OR(J184="已破獲未移送",J184="已移送"),"是","否"),"")</f>
        <v/>
      </c>
      <c r="O184" s="15">
        <f>IFERROR(IF(D184="","",YEAR(D184)-1911),"")</f>
        <v/>
      </c>
      <c r="P184" s="15">
        <f>IFERROR(INDEX(案類分類清單,MATCH(B184,案類名稱清單,0)),"")</f>
        <v/>
      </c>
      <c r="Q184" s="15">
        <f>IFERROR(INDEX(納入全般清單,MATCH(B184,案類名稱清單,0)),"否")</f>
        <v/>
      </c>
      <c r="R184" s="15">
        <f>IFERROR(O184*10000+IFERROR(MATCH(J184,{"尚未偵破","已破獲未移送","已移送","簽結"},0),0)*100+ROW(),0)</f>
        <v/>
      </c>
      <c r="S184" s="225" t="n"/>
      <c r="T184" s="15">
        <f>IFERROR(IF(S184="","是","否"),"是")</f>
        <v/>
      </c>
      <c r="U184" s="225" t="n"/>
    </row>
    <row r="185" ht="30" customHeight="1">
      <c r="A185" s="225" t="n"/>
      <c r="B185" s="225" t="n"/>
      <c r="C185" s="225" t="n"/>
      <c r="D185" s="226" t="n"/>
      <c r="E185" s="225" t="n"/>
      <c r="F185" s="226" t="n"/>
      <c r="G185" s="225" t="n"/>
      <c r="H185" s="225" t="n"/>
      <c r="I185" s="225" t="n"/>
      <c r="J185" s="225" t="n"/>
      <c r="K185" s="225" t="n"/>
      <c r="L185" s="225" t="n"/>
      <c r="M185" s="225" t="n"/>
      <c r="N185" s="15">
        <f>IFERROR(IF(OR(J185="已破獲未移送",J185="已移送"),"是","否"),"")</f>
        <v/>
      </c>
      <c r="O185" s="15">
        <f>IFERROR(IF(D185="","",YEAR(D185)-1911),"")</f>
        <v/>
      </c>
      <c r="P185" s="15">
        <f>IFERROR(INDEX(案類分類清單,MATCH(B185,案類名稱清單,0)),"")</f>
        <v/>
      </c>
      <c r="Q185" s="15">
        <f>IFERROR(INDEX(納入全般清單,MATCH(B185,案類名稱清單,0)),"否")</f>
        <v/>
      </c>
      <c r="R185" s="15">
        <f>IFERROR(O185*10000+IFERROR(MATCH(J185,{"尚未偵破","已破獲未移送","已移送","簽結"},0),0)*100+ROW(),0)</f>
        <v/>
      </c>
      <c r="S185" s="225" t="n"/>
      <c r="T185" s="15">
        <f>IFERROR(IF(S185="","是","否"),"是")</f>
        <v/>
      </c>
      <c r="U185" s="225" t="n"/>
    </row>
    <row r="186" ht="30" customHeight="1">
      <c r="A186" s="225" t="n"/>
      <c r="B186" s="225" t="n"/>
      <c r="C186" s="225" t="n"/>
      <c r="D186" s="226" t="n"/>
      <c r="E186" s="225" t="n"/>
      <c r="F186" s="226" t="n"/>
      <c r="G186" s="225" t="n"/>
      <c r="H186" s="225" t="n"/>
      <c r="I186" s="225" t="n"/>
      <c r="J186" s="225" t="n"/>
      <c r="K186" s="225" t="n"/>
      <c r="L186" s="225" t="n"/>
      <c r="M186" s="225" t="n"/>
      <c r="N186" s="15">
        <f>IFERROR(IF(OR(J186="已破獲未移送",J186="已移送"),"是","否"),"")</f>
        <v/>
      </c>
      <c r="O186" s="15">
        <f>IFERROR(IF(D186="","",YEAR(D186)-1911),"")</f>
        <v/>
      </c>
      <c r="P186" s="15">
        <f>IFERROR(INDEX(案類分類清單,MATCH(B186,案類名稱清單,0)),"")</f>
        <v/>
      </c>
      <c r="Q186" s="15">
        <f>IFERROR(INDEX(納入全般清單,MATCH(B186,案類名稱清單,0)),"否")</f>
        <v/>
      </c>
      <c r="R186" s="15">
        <f>IFERROR(O186*10000+IFERROR(MATCH(J186,{"尚未偵破","已破獲未移送","已移送","簽結"},0),0)*100+ROW(),0)</f>
        <v/>
      </c>
      <c r="S186" s="225" t="n"/>
      <c r="T186" s="15">
        <f>IFERROR(IF(S186="","是","否"),"是")</f>
        <v/>
      </c>
      <c r="U186" s="225" t="n"/>
    </row>
    <row r="187" ht="30" customHeight="1">
      <c r="A187" s="225" t="n"/>
      <c r="B187" s="225" t="n"/>
      <c r="C187" s="225" t="n"/>
      <c r="D187" s="226" t="n"/>
      <c r="E187" s="225" t="n"/>
      <c r="F187" s="226" t="n"/>
      <c r="G187" s="225" t="n"/>
      <c r="H187" s="225" t="n"/>
      <c r="I187" s="225" t="n"/>
      <c r="J187" s="225" t="n"/>
      <c r="K187" s="225" t="n"/>
      <c r="L187" s="225" t="n"/>
      <c r="M187" s="225" t="n"/>
      <c r="N187" s="15">
        <f>IFERROR(IF(OR(J187="已破獲未移送",J187="已移送"),"是","否"),"")</f>
        <v/>
      </c>
      <c r="O187" s="15">
        <f>IFERROR(IF(D187="","",YEAR(D187)-1911),"")</f>
        <v/>
      </c>
      <c r="P187" s="15">
        <f>IFERROR(INDEX(案類分類清單,MATCH(B187,案類名稱清單,0)),"")</f>
        <v/>
      </c>
      <c r="Q187" s="15">
        <f>IFERROR(INDEX(納入全般清單,MATCH(B187,案類名稱清單,0)),"否")</f>
        <v/>
      </c>
      <c r="R187" s="15">
        <f>IFERROR(O187*10000+IFERROR(MATCH(J187,{"尚未偵破","已破獲未移送","已移送","簽結"},0),0)*100+ROW(),0)</f>
        <v/>
      </c>
      <c r="S187" s="225" t="n"/>
      <c r="T187" s="15">
        <f>IFERROR(IF(S187="","是","否"),"是")</f>
        <v/>
      </c>
      <c r="U187" s="225" t="n"/>
    </row>
    <row r="188" ht="30" customHeight="1">
      <c r="A188" s="225" t="n"/>
      <c r="B188" s="225" t="n"/>
      <c r="C188" s="225" t="n"/>
      <c r="D188" s="226" t="n"/>
      <c r="E188" s="225" t="n"/>
      <c r="F188" s="226" t="n"/>
      <c r="G188" s="225" t="n"/>
      <c r="H188" s="225" t="n"/>
      <c r="I188" s="225" t="n"/>
      <c r="J188" s="225" t="n"/>
      <c r="K188" s="225" t="n"/>
      <c r="L188" s="225" t="n"/>
      <c r="M188" s="225" t="n"/>
      <c r="N188" s="15">
        <f>IFERROR(IF(OR(J188="已破獲未移送",J188="已移送"),"是","否"),"")</f>
        <v/>
      </c>
      <c r="O188" s="15">
        <f>IFERROR(IF(D188="","",YEAR(D188)-1911),"")</f>
        <v/>
      </c>
      <c r="P188" s="15">
        <f>IFERROR(INDEX(案類分類清單,MATCH(B188,案類名稱清單,0)),"")</f>
        <v/>
      </c>
      <c r="Q188" s="15">
        <f>IFERROR(INDEX(納入全般清單,MATCH(B188,案類名稱清單,0)),"否")</f>
        <v/>
      </c>
      <c r="R188" s="15">
        <f>IFERROR(O188*10000+IFERROR(MATCH(J188,{"尚未偵破","已破獲未移送","已移送","簽結"},0),0)*100+ROW(),0)</f>
        <v/>
      </c>
      <c r="S188" s="225" t="n"/>
      <c r="T188" s="15">
        <f>IFERROR(IF(S188="","是","否"),"是")</f>
        <v/>
      </c>
      <c r="U188" s="225" t="n"/>
    </row>
    <row r="189" ht="30" customHeight="1">
      <c r="A189" s="225" t="n"/>
      <c r="B189" s="225" t="n"/>
      <c r="C189" s="225" t="n"/>
      <c r="D189" s="226" t="n"/>
      <c r="E189" s="225" t="n"/>
      <c r="F189" s="226" t="n"/>
      <c r="G189" s="225" t="n"/>
      <c r="H189" s="225" t="n"/>
      <c r="I189" s="225" t="n"/>
      <c r="J189" s="225" t="n"/>
      <c r="K189" s="225" t="n"/>
      <c r="L189" s="225" t="n"/>
      <c r="M189" s="225" t="n"/>
      <c r="N189" s="15">
        <f>IFERROR(IF(OR(J189="已破獲未移送",J189="已移送"),"是","否"),"")</f>
        <v/>
      </c>
      <c r="O189" s="15">
        <f>IFERROR(IF(D189="","",YEAR(D189)-1911),"")</f>
        <v/>
      </c>
      <c r="P189" s="15">
        <f>IFERROR(INDEX(案類分類清單,MATCH(B189,案類名稱清單,0)),"")</f>
        <v/>
      </c>
      <c r="Q189" s="15">
        <f>IFERROR(INDEX(納入全般清單,MATCH(B189,案類名稱清單,0)),"否")</f>
        <v/>
      </c>
      <c r="R189" s="15">
        <f>IFERROR(O189*10000+IFERROR(MATCH(J189,{"尚未偵破","已破獲未移送","已移送","簽結"},0),0)*100+ROW(),0)</f>
        <v/>
      </c>
      <c r="S189" s="225" t="n"/>
      <c r="T189" s="15">
        <f>IFERROR(IF(S189="","是","否"),"是")</f>
        <v/>
      </c>
      <c r="U189" s="225" t="n"/>
    </row>
    <row r="190" ht="30" customHeight="1">
      <c r="A190" s="225" t="n"/>
      <c r="B190" s="225" t="n"/>
      <c r="C190" s="225" t="n"/>
      <c r="D190" s="226" t="n"/>
      <c r="E190" s="225" t="n"/>
      <c r="F190" s="226" t="n"/>
      <c r="G190" s="225" t="n"/>
      <c r="H190" s="225" t="n"/>
      <c r="I190" s="225" t="n"/>
      <c r="J190" s="225" t="n"/>
      <c r="K190" s="225" t="n"/>
      <c r="L190" s="225" t="n"/>
      <c r="M190" s="225" t="n"/>
      <c r="N190" s="15">
        <f>IFERROR(IF(OR(J190="已破獲未移送",J190="已移送"),"是","否"),"")</f>
        <v/>
      </c>
      <c r="O190" s="15">
        <f>IFERROR(IF(D190="","",YEAR(D190)-1911),"")</f>
        <v/>
      </c>
      <c r="P190" s="15">
        <f>IFERROR(INDEX(案類分類清單,MATCH(B190,案類名稱清單,0)),"")</f>
        <v/>
      </c>
      <c r="Q190" s="15">
        <f>IFERROR(INDEX(納入全般清單,MATCH(B190,案類名稱清單,0)),"否")</f>
        <v/>
      </c>
      <c r="R190" s="15">
        <f>IFERROR(O190*10000+IFERROR(MATCH(J190,{"尚未偵破","已破獲未移送","已移送","簽結"},0),0)*100+ROW(),0)</f>
        <v/>
      </c>
      <c r="S190" s="225" t="n"/>
      <c r="T190" s="15">
        <f>IFERROR(IF(S190="","是","否"),"是")</f>
        <v/>
      </c>
      <c r="U190" s="225" t="n"/>
    </row>
    <row r="191" ht="30" customHeight="1">
      <c r="A191" s="225" t="n"/>
      <c r="B191" s="225" t="n"/>
      <c r="C191" s="225" t="n"/>
      <c r="D191" s="226" t="n"/>
      <c r="E191" s="225" t="n"/>
      <c r="F191" s="226" t="n"/>
      <c r="G191" s="225" t="n"/>
      <c r="H191" s="225" t="n"/>
      <c r="I191" s="225" t="n"/>
      <c r="J191" s="225" t="n"/>
      <c r="K191" s="225" t="n"/>
      <c r="L191" s="225" t="n"/>
      <c r="M191" s="225" t="n"/>
      <c r="N191" s="15">
        <f>IFERROR(IF(OR(J191="已破獲未移送",J191="已移送"),"是","否"),"")</f>
        <v/>
      </c>
      <c r="O191" s="15">
        <f>IFERROR(IF(D191="","",YEAR(D191)-1911),"")</f>
        <v/>
      </c>
      <c r="P191" s="15">
        <f>IFERROR(INDEX(案類分類清單,MATCH(B191,案類名稱清單,0)),"")</f>
        <v/>
      </c>
      <c r="Q191" s="15">
        <f>IFERROR(INDEX(納入全般清單,MATCH(B191,案類名稱清單,0)),"否")</f>
        <v/>
      </c>
      <c r="R191" s="15">
        <f>IFERROR(O191*10000+IFERROR(MATCH(J191,{"尚未偵破","已破獲未移送","已移送","簽結"},0),0)*100+ROW(),0)</f>
        <v/>
      </c>
      <c r="S191" s="225" t="n"/>
      <c r="T191" s="15">
        <f>IFERROR(IF(S191="","是","否"),"是")</f>
        <v/>
      </c>
      <c r="U191" s="225" t="n"/>
    </row>
    <row r="192" ht="30" customHeight="1">
      <c r="A192" s="225" t="n"/>
      <c r="B192" s="225" t="n"/>
      <c r="C192" s="225" t="n"/>
      <c r="D192" s="226" t="n"/>
      <c r="E192" s="225" t="n"/>
      <c r="F192" s="226" t="n"/>
      <c r="G192" s="225" t="n"/>
      <c r="H192" s="225" t="n"/>
      <c r="I192" s="225" t="n"/>
      <c r="J192" s="225" t="n"/>
      <c r="K192" s="225" t="n"/>
      <c r="L192" s="225" t="n"/>
      <c r="M192" s="225" t="n"/>
      <c r="N192" s="15">
        <f>IFERROR(IF(OR(J192="已破獲未移送",J192="已移送"),"是","否"),"")</f>
        <v/>
      </c>
      <c r="O192" s="15">
        <f>IFERROR(IF(D192="","",YEAR(D192)-1911),"")</f>
        <v/>
      </c>
      <c r="P192" s="15">
        <f>IFERROR(INDEX(案類分類清單,MATCH(B192,案類名稱清單,0)),"")</f>
        <v/>
      </c>
      <c r="Q192" s="15">
        <f>IFERROR(INDEX(納入全般清單,MATCH(B192,案類名稱清單,0)),"否")</f>
        <v/>
      </c>
      <c r="R192" s="15">
        <f>IFERROR(O192*10000+IFERROR(MATCH(J192,{"尚未偵破","已破獲未移送","已移送","簽結"},0),0)*100+ROW(),0)</f>
        <v/>
      </c>
      <c r="S192" s="225" t="n"/>
      <c r="T192" s="15">
        <f>IFERROR(IF(S192="","是","否"),"是")</f>
        <v/>
      </c>
      <c r="U192" s="225" t="n"/>
    </row>
    <row r="193" ht="30" customHeight="1">
      <c r="A193" s="225" t="n"/>
      <c r="B193" s="225" t="n"/>
      <c r="C193" s="225" t="n"/>
      <c r="D193" s="226" t="n"/>
      <c r="E193" s="225" t="n"/>
      <c r="F193" s="226" t="n"/>
      <c r="G193" s="225" t="n"/>
      <c r="H193" s="225" t="n"/>
      <c r="I193" s="225" t="n"/>
      <c r="J193" s="225" t="n"/>
      <c r="K193" s="225" t="n"/>
      <c r="L193" s="225" t="n"/>
      <c r="M193" s="225" t="n"/>
      <c r="N193" s="15">
        <f>IFERROR(IF(OR(J193="已破獲未移送",J193="已移送"),"是","否"),"")</f>
        <v/>
      </c>
      <c r="O193" s="15">
        <f>IFERROR(IF(D193="","",YEAR(D193)-1911),"")</f>
        <v/>
      </c>
      <c r="P193" s="15">
        <f>IFERROR(INDEX(案類分類清單,MATCH(B193,案類名稱清單,0)),"")</f>
        <v/>
      </c>
      <c r="Q193" s="15">
        <f>IFERROR(INDEX(納入全般清單,MATCH(B193,案類名稱清單,0)),"否")</f>
        <v/>
      </c>
      <c r="R193" s="15">
        <f>IFERROR(O193*10000+IFERROR(MATCH(J193,{"尚未偵破","已破獲未移送","已移送","簽結"},0),0)*100+ROW(),0)</f>
        <v/>
      </c>
      <c r="S193" s="225" t="n"/>
      <c r="T193" s="15">
        <f>IFERROR(IF(S193="","是","否"),"是")</f>
        <v/>
      </c>
      <c r="U193" s="225" t="n"/>
    </row>
    <row r="194" ht="30" customHeight="1">
      <c r="A194" s="225" t="n"/>
      <c r="B194" s="225" t="n"/>
      <c r="C194" s="225" t="n"/>
      <c r="D194" s="226" t="n"/>
      <c r="E194" s="225" t="n"/>
      <c r="F194" s="226" t="n"/>
      <c r="G194" s="225" t="n"/>
      <c r="H194" s="225" t="n"/>
      <c r="I194" s="225" t="n"/>
      <c r="J194" s="225" t="n"/>
      <c r="K194" s="225" t="n"/>
      <c r="L194" s="225" t="n"/>
      <c r="M194" s="225" t="n"/>
      <c r="N194" s="15">
        <f>IFERROR(IF(OR(J194="已破獲未移送",J194="已移送"),"是","否"),"")</f>
        <v/>
      </c>
      <c r="O194" s="15">
        <f>IFERROR(IF(D194="","",YEAR(D194)-1911),"")</f>
        <v/>
      </c>
      <c r="P194" s="15">
        <f>IFERROR(INDEX(案類分類清單,MATCH(B194,案類名稱清單,0)),"")</f>
        <v/>
      </c>
      <c r="Q194" s="15">
        <f>IFERROR(INDEX(納入全般清單,MATCH(B194,案類名稱清單,0)),"否")</f>
        <v/>
      </c>
      <c r="R194" s="15">
        <f>IFERROR(O194*10000+IFERROR(MATCH(J194,{"尚未偵破","已破獲未移送","已移送","簽結"},0),0)*100+ROW(),0)</f>
        <v/>
      </c>
      <c r="S194" s="225" t="n"/>
      <c r="T194" s="15">
        <f>IFERROR(IF(S194="","是","否"),"是")</f>
        <v/>
      </c>
      <c r="U194" s="225" t="n"/>
    </row>
    <row r="195" ht="30" customHeight="1">
      <c r="A195" s="225" t="n"/>
      <c r="B195" s="225" t="n"/>
      <c r="C195" s="225" t="n"/>
      <c r="D195" s="226" t="n"/>
      <c r="E195" s="225" t="n"/>
      <c r="F195" s="226" t="n"/>
      <c r="G195" s="225" t="n"/>
      <c r="H195" s="225" t="n"/>
      <c r="I195" s="225" t="n"/>
      <c r="J195" s="225" t="n"/>
      <c r="K195" s="225" t="n"/>
      <c r="L195" s="225" t="n"/>
      <c r="M195" s="225" t="n"/>
      <c r="N195" s="15">
        <f>IFERROR(IF(OR(J195="已破獲未移送",J195="已移送"),"是","否"),"")</f>
        <v/>
      </c>
      <c r="O195" s="15">
        <f>IFERROR(IF(D195="","",YEAR(D195)-1911),"")</f>
        <v/>
      </c>
      <c r="P195" s="15">
        <f>IFERROR(INDEX(案類分類清單,MATCH(B195,案類名稱清單,0)),"")</f>
        <v/>
      </c>
      <c r="Q195" s="15">
        <f>IFERROR(INDEX(納入全般清單,MATCH(B195,案類名稱清單,0)),"否")</f>
        <v/>
      </c>
      <c r="R195" s="15">
        <f>IFERROR(O195*10000+IFERROR(MATCH(J195,{"尚未偵破","已破獲未移送","已移送","簽結"},0),0)*100+ROW(),0)</f>
        <v/>
      </c>
      <c r="S195" s="225" t="n"/>
      <c r="T195" s="15">
        <f>IFERROR(IF(S195="","是","否"),"是")</f>
        <v/>
      </c>
      <c r="U195" s="225" t="n"/>
    </row>
    <row r="196" ht="30" customHeight="1">
      <c r="A196" s="225" t="n"/>
      <c r="B196" s="225" t="n"/>
      <c r="C196" s="225" t="n"/>
      <c r="D196" s="226" t="n"/>
      <c r="E196" s="225" t="n"/>
      <c r="F196" s="226" t="n"/>
      <c r="G196" s="225" t="n"/>
      <c r="H196" s="225" t="n"/>
      <c r="I196" s="225" t="n"/>
      <c r="J196" s="225" t="n"/>
      <c r="K196" s="225" t="n"/>
      <c r="L196" s="225" t="n"/>
      <c r="M196" s="225" t="n"/>
      <c r="N196" s="15">
        <f>IFERROR(IF(OR(J196="已破獲未移送",J196="已移送"),"是","否"),"")</f>
        <v/>
      </c>
      <c r="O196" s="15">
        <f>IFERROR(IF(D196="","",YEAR(D196)-1911),"")</f>
        <v/>
      </c>
      <c r="P196" s="15">
        <f>IFERROR(INDEX(案類分類清單,MATCH(B196,案類名稱清單,0)),"")</f>
        <v/>
      </c>
      <c r="Q196" s="15">
        <f>IFERROR(INDEX(納入全般清單,MATCH(B196,案類名稱清單,0)),"否")</f>
        <v/>
      </c>
      <c r="R196" s="15">
        <f>IFERROR(O196*10000+IFERROR(MATCH(J196,{"尚未偵破","已破獲未移送","已移送","簽結"},0),0)*100+ROW(),0)</f>
        <v/>
      </c>
      <c r="S196" s="225" t="n"/>
      <c r="T196" s="15">
        <f>IFERROR(IF(S196="","是","否"),"是")</f>
        <v/>
      </c>
      <c r="U196" s="225" t="n"/>
    </row>
    <row r="197" ht="30" customHeight="1">
      <c r="A197" s="225" t="n"/>
      <c r="B197" s="225" t="n"/>
      <c r="C197" s="225" t="n"/>
      <c r="D197" s="226" t="n"/>
      <c r="E197" s="225" t="n"/>
      <c r="F197" s="226" t="n"/>
      <c r="G197" s="225" t="n"/>
      <c r="H197" s="225" t="n"/>
      <c r="I197" s="225" t="n"/>
      <c r="J197" s="225" t="n"/>
      <c r="K197" s="225" t="n"/>
      <c r="L197" s="225" t="n"/>
      <c r="M197" s="225" t="n"/>
      <c r="N197" s="15">
        <f>IFERROR(IF(OR(J197="已破獲未移送",J197="已移送"),"是","否"),"")</f>
        <v/>
      </c>
      <c r="O197" s="15">
        <f>IFERROR(IF(D197="","",YEAR(D197)-1911),"")</f>
        <v/>
      </c>
      <c r="P197" s="15">
        <f>IFERROR(INDEX(案類分類清單,MATCH(B197,案類名稱清單,0)),"")</f>
        <v/>
      </c>
      <c r="Q197" s="15">
        <f>IFERROR(INDEX(納入全般清單,MATCH(B197,案類名稱清單,0)),"否")</f>
        <v/>
      </c>
      <c r="R197" s="15">
        <f>IFERROR(O197*10000+IFERROR(MATCH(J197,{"尚未偵破","已破獲未移送","已移送","簽結"},0),0)*100+ROW(),0)</f>
        <v/>
      </c>
      <c r="S197" s="225" t="n"/>
      <c r="T197" s="15">
        <f>IFERROR(IF(S197="","是","否"),"是")</f>
        <v/>
      </c>
      <c r="U197" s="225" t="n"/>
    </row>
    <row r="198" ht="30" customHeight="1">
      <c r="A198" s="225" t="n"/>
      <c r="B198" s="225" t="n"/>
      <c r="C198" s="225" t="n"/>
      <c r="D198" s="226" t="n"/>
      <c r="E198" s="225" t="n"/>
      <c r="F198" s="226" t="n"/>
      <c r="G198" s="225" t="n"/>
      <c r="H198" s="225" t="n"/>
      <c r="I198" s="225" t="n"/>
      <c r="J198" s="225" t="n"/>
      <c r="K198" s="225" t="n"/>
      <c r="L198" s="225" t="n"/>
      <c r="M198" s="225" t="n"/>
      <c r="N198" s="15">
        <f>IFERROR(IF(OR(J198="已破獲未移送",J198="已移送"),"是","否"),"")</f>
        <v/>
      </c>
      <c r="O198" s="15">
        <f>IFERROR(IF(D198="","",YEAR(D198)-1911),"")</f>
        <v/>
      </c>
      <c r="P198" s="15">
        <f>IFERROR(INDEX(案類分類清單,MATCH(B198,案類名稱清單,0)),"")</f>
        <v/>
      </c>
      <c r="Q198" s="15">
        <f>IFERROR(INDEX(納入全般清單,MATCH(B198,案類名稱清單,0)),"否")</f>
        <v/>
      </c>
      <c r="R198" s="15">
        <f>IFERROR(O198*10000+IFERROR(MATCH(J198,{"尚未偵破","已破獲未移送","已移送","簽結"},0),0)*100+ROW(),0)</f>
        <v/>
      </c>
      <c r="S198" s="225" t="n"/>
      <c r="T198" s="15">
        <f>IFERROR(IF(S198="","是","否"),"是")</f>
        <v/>
      </c>
      <c r="U198" s="225" t="n"/>
    </row>
    <row r="199" ht="30" customHeight="1">
      <c r="A199" s="225" t="n"/>
      <c r="B199" s="225" t="n"/>
      <c r="C199" s="225" t="n"/>
      <c r="D199" s="226" t="n"/>
      <c r="E199" s="225" t="n"/>
      <c r="F199" s="226" t="n"/>
      <c r="G199" s="225" t="n"/>
      <c r="H199" s="225" t="n"/>
      <c r="I199" s="225" t="n"/>
      <c r="J199" s="225" t="n"/>
      <c r="K199" s="225" t="n"/>
      <c r="L199" s="225" t="n"/>
      <c r="M199" s="225" t="n"/>
      <c r="N199" s="15">
        <f>IFERROR(IF(OR(J199="已破獲未移送",J199="已移送"),"是","否"),"")</f>
        <v/>
      </c>
      <c r="O199" s="15">
        <f>IFERROR(IF(D199="","",YEAR(D199)-1911),"")</f>
        <v/>
      </c>
      <c r="P199" s="15">
        <f>IFERROR(INDEX(案類分類清單,MATCH(B199,案類名稱清單,0)),"")</f>
        <v/>
      </c>
      <c r="Q199" s="15">
        <f>IFERROR(INDEX(納入全般清單,MATCH(B199,案類名稱清單,0)),"否")</f>
        <v/>
      </c>
      <c r="R199" s="15">
        <f>IFERROR(O199*10000+IFERROR(MATCH(J199,{"尚未偵破","已破獲未移送","已移送","簽結"},0),0)*100+ROW(),0)</f>
        <v/>
      </c>
      <c r="S199" s="225" t="n"/>
      <c r="T199" s="15">
        <f>IFERROR(IF(S199="","是","否"),"是")</f>
        <v/>
      </c>
      <c r="U199" s="225" t="n"/>
    </row>
    <row r="200" ht="30" customHeight="1">
      <c r="A200" s="225" t="n"/>
      <c r="B200" s="225" t="n"/>
      <c r="C200" s="225" t="n"/>
      <c r="D200" s="226" t="n"/>
      <c r="E200" s="225" t="n"/>
      <c r="F200" s="226" t="n"/>
      <c r="G200" s="225" t="n"/>
      <c r="H200" s="225" t="n"/>
      <c r="I200" s="225" t="n"/>
      <c r="J200" s="225" t="n"/>
      <c r="K200" s="225" t="n"/>
      <c r="L200" s="225" t="n"/>
      <c r="M200" s="225" t="n"/>
      <c r="N200" s="15">
        <f>IFERROR(IF(OR(J200="已破獲未移送",J200="已移送"),"是","否"),"")</f>
        <v/>
      </c>
      <c r="O200" s="15">
        <f>IFERROR(IF(D200="","",YEAR(D200)-1911),"")</f>
        <v/>
      </c>
      <c r="P200" s="15">
        <f>IFERROR(INDEX(案類分類清單,MATCH(B200,案類名稱清單,0)),"")</f>
        <v/>
      </c>
      <c r="Q200" s="15">
        <f>IFERROR(INDEX(納入全般清單,MATCH(B200,案類名稱清單,0)),"否")</f>
        <v/>
      </c>
      <c r="R200" s="15">
        <f>IFERROR(O200*10000+IFERROR(MATCH(J200,{"尚未偵破","已破獲未移送","已移送","簽結"},0),0)*100+ROW(),0)</f>
        <v/>
      </c>
      <c r="S200" s="225" t="n"/>
      <c r="T200" s="15">
        <f>IFERROR(IF(S200="","是","否"),"是")</f>
        <v/>
      </c>
      <c r="U200" s="225" t="n"/>
    </row>
    <row r="201" ht="30" customHeight="1">
      <c r="A201" s="225" t="n"/>
      <c r="B201" s="225" t="n"/>
      <c r="C201" s="225" t="n"/>
      <c r="D201" s="226" t="n"/>
      <c r="E201" s="225" t="n"/>
      <c r="F201" s="226" t="n"/>
      <c r="G201" s="225" t="n"/>
      <c r="H201" s="225" t="n"/>
      <c r="I201" s="225" t="n"/>
      <c r="J201" s="225" t="n"/>
      <c r="K201" s="225" t="n"/>
      <c r="L201" s="225" t="n"/>
      <c r="M201" s="225" t="n"/>
      <c r="N201" s="15">
        <f>IFERROR(IF(OR(J201="已破獲未移送",J201="已移送"),"是","否"),"")</f>
        <v/>
      </c>
      <c r="O201" s="15">
        <f>IFERROR(IF(D201="","",YEAR(D201)-1911),"")</f>
        <v/>
      </c>
      <c r="P201" s="15">
        <f>IFERROR(INDEX(案類分類清單,MATCH(B201,案類名稱清單,0)),"")</f>
        <v/>
      </c>
      <c r="Q201" s="15">
        <f>IFERROR(INDEX(納入全般清單,MATCH(B201,案類名稱清單,0)),"否")</f>
        <v/>
      </c>
      <c r="R201" s="15">
        <f>IFERROR(O201*10000+IFERROR(MATCH(J201,{"尚未偵破","已破獲未移送","已移送","簽結"},0),0)*100+ROW(),0)</f>
        <v/>
      </c>
      <c r="S201" s="225" t="n"/>
      <c r="T201" s="15">
        <f>IFERROR(IF(S201="","是","否"),"是")</f>
        <v/>
      </c>
      <c r="U201" s="225" t="n"/>
    </row>
    <row r="202" ht="30" customHeight="1">
      <c r="A202" s="225" t="n"/>
      <c r="B202" s="225" t="n"/>
      <c r="C202" s="225" t="n"/>
      <c r="D202" s="226" t="n"/>
      <c r="E202" s="225" t="n"/>
      <c r="F202" s="226" t="n"/>
      <c r="G202" s="225" t="n"/>
      <c r="H202" s="225" t="n"/>
      <c r="I202" s="225" t="n"/>
      <c r="J202" s="225" t="n"/>
      <c r="K202" s="225" t="n"/>
      <c r="L202" s="225" t="n"/>
      <c r="M202" s="225" t="n"/>
      <c r="N202" s="15">
        <f>IFERROR(IF(OR(J202="已破獲未移送",J202="已移送"),"是","否"),"")</f>
        <v/>
      </c>
      <c r="O202" s="15">
        <f>IFERROR(IF(D202="","",YEAR(D202)-1911),"")</f>
        <v/>
      </c>
      <c r="P202" s="15">
        <f>IFERROR(INDEX(案類分類清單,MATCH(B202,案類名稱清單,0)),"")</f>
        <v/>
      </c>
      <c r="Q202" s="15">
        <f>IFERROR(INDEX(納入全般清單,MATCH(B202,案類名稱清單,0)),"否")</f>
        <v/>
      </c>
      <c r="R202" s="15">
        <f>IFERROR(O202*10000+IFERROR(MATCH(J202,{"尚未偵破","已破獲未移送","已移送","簽結"},0),0)*100+ROW(),0)</f>
        <v/>
      </c>
      <c r="S202" s="225" t="n"/>
      <c r="T202" s="15">
        <f>IFERROR(IF(S202="","是","否"),"是")</f>
        <v/>
      </c>
      <c r="U202" s="225" t="n"/>
    </row>
    <row r="203" ht="30" customHeight="1">
      <c r="A203" s="225" t="n"/>
      <c r="B203" s="225" t="n"/>
      <c r="C203" s="225" t="n"/>
      <c r="D203" s="226" t="n"/>
      <c r="E203" s="225" t="n"/>
      <c r="F203" s="226" t="n"/>
      <c r="G203" s="225" t="n"/>
      <c r="H203" s="225" t="n"/>
      <c r="I203" s="225" t="n"/>
      <c r="J203" s="225" t="n"/>
      <c r="K203" s="225" t="n"/>
      <c r="L203" s="225" t="n"/>
      <c r="M203" s="225" t="n"/>
      <c r="N203" s="15">
        <f>IFERROR(IF(OR(J203="已破獲未移送",J203="已移送"),"是","否"),"")</f>
        <v/>
      </c>
      <c r="O203" s="15">
        <f>IFERROR(IF(D203="","",YEAR(D203)-1911),"")</f>
        <v/>
      </c>
      <c r="P203" s="15">
        <f>IFERROR(INDEX(案類分類清單,MATCH(B203,案類名稱清單,0)),"")</f>
        <v/>
      </c>
      <c r="Q203" s="15">
        <f>IFERROR(INDEX(納入全般清單,MATCH(B203,案類名稱清單,0)),"否")</f>
        <v/>
      </c>
      <c r="R203" s="15">
        <f>IFERROR(O203*10000+IFERROR(MATCH(J203,{"尚未偵破","已破獲未移送","已移送","簽結"},0),0)*100+ROW(),0)</f>
        <v/>
      </c>
      <c r="S203" s="225" t="n"/>
      <c r="T203" s="15">
        <f>IFERROR(IF(S203="","是","否"),"是")</f>
        <v/>
      </c>
      <c r="U203" s="225" t="n"/>
    </row>
    <row r="204" ht="30" customHeight="1">
      <c r="A204" s="225" t="n"/>
      <c r="B204" s="225" t="n"/>
      <c r="C204" s="225" t="n"/>
      <c r="D204" s="226" t="n"/>
      <c r="E204" s="225" t="n"/>
      <c r="F204" s="226" t="n"/>
      <c r="G204" s="225" t="n"/>
      <c r="H204" s="225" t="n"/>
      <c r="I204" s="225" t="n"/>
      <c r="J204" s="225" t="n"/>
      <c r="K204" s="225" t="n"/>
      <c r="L204" s="225" t="n"/>
      <c r="M204" s="225" t="n"/>
      <c r="N204" s="15">
        <f>IFERROR(IF(OR(J204="已破獲未移送",J204="已移送"),"是","否"),"")</f>
        <v/>
      </c>
      <c r="O204" s="15">
        <f>IFERROR(IF(D204="","",YEAR(D204)-1911),"")</f>
        <v/>
      </c>
      <c r="P204" s="15">
        <f>IFERROR(INDEX(案類分類清單,MATCH(B204,案類名稱清單,0)),"")</f>
        <v/>
      </c>
      <c r="Q204" s="15">
        <f>IFERROR(INDEX(納入全般清單,MATCH(B204,案類名稱清單,0)),"否")</f>
        <v/>
      </c>
      <c r="R204" s="15">
        <f>IFERROR(O204*10000+IFERROR(MATCH(J204,{"尚未偵破","已破獲未移送","已移送","簽結"},0),0)*100+ROW(),0)</f>
        <v/>
      </c>
      <c r="S204" s="225" t="n"/>
      <c r="T204" s="15">
        <f>IFERROR(IF(S204="","是","否"),"是")</f>
        <v/>
      </c>
      <c r="U204" s="225" t="n"/>
    </row>
    <row r="205" ht="30" customHeight="1">
      <c r="A205" s="225" t="n"/>
      <c r="B205" s="225" t="n"/>
      <c r="C205" s="225" t="n"/>
      <c r="D205" s="226" t="n"/>
      <c r="E205" s="225" t="n"/>
      <c r="F205" s="226" t="n"/>
      <c r="G205" s="225" t="n"/>
      <c r="H205" s="225" t="n"/>
      <c r="I205" s="225" t="n"/>
      <c r="J205" s="225" t="n"/>
      <c r="K205" s="225" t="n"/>
      <c r="L205" s="225" t="n"/>
      <c r="M205" s="225" t="n"/>
      <c r="N205" s="15">
        <f>IFERROR(IF(OR(J205="已破獲未移送",J205="已移送"),"是","否"),"")</f>
        <v/>
      </c>
      <c r="O205" s="15">
        <f>IFERROR(IF(D205="","",YEAR(D205)-1911),"")</f>
        <v/>
      </c>
      <c r="P205" s="15">
        <f>IFERROR(INDEX(案類分類清單,MATCH(B205,案類名稱清單,0)),"")</f>
        <v/>
      </c>
      <c r="Q205" s="15">
        <f>IFERROR(INDEX(納入全般清單,MATCH(B205,案類名稱清單,0)),"否")</f>
        <v/>
      </c>
      <c r="R205" s="15">
        <f>IFERROR(O205*10000+IFERROR(MATCH(J205,{"尚未偵破","已破獲未移送","已移送","簽結"},0),0)*100+ROW(),0)</f>
        <v/>
      </c>
      <c r="S205" s="225" t="n"/>
      <c r="T205" s="15">
        <f>IFERROR(IF(S205="","是","否"),"是")</f>
        <v/>
      </c>
      <c r="U205" s="225" t="n"/>
    </row>
    <row r="206" ht="30" customHeight="1">
      <c r="A206" s="225" t="n"/>
      <c r="B206" s="225" t="n"/>
      <c r="C206" s="225" t="n"/>
      <c r="D206" s="226" t="n"/>
      <c r="E206" s="225" t="n"/>
      <c r="F206" s="226" t="n"/>
      <c r="G206" s="225" t="n"/>
      <c r="H206" s="225" t="n"/>
      <c r="I206" s="225" t="n"/>
      <c r="J206" s="225" t="n"/>
      <c r="K206" s="225" t="n"/>
      <c r="L206" s="225" t="n"/>
      <c r="M206" s="225" t="n"/>
      <c r="N206" s="15">
        <f>IFERROR(IF(OR(J206="已破獲未移送",J206="已移送"),"是","否"),"")</f>
        <v/>
      </c>
      <c r="O206" s="15">
        <f>IFERROR(IF(D206="","",YEAR(D206)-1911),"")</f>
        <v/>
      </c>
      <c r="P206" s="15">
        <f>IFERROR(INDEX(案類分類清單,MATCH(B206,案類名稱清單,0)),"")</f>
        <v/>
      </c>
      <c r="Q206" s="15">
        <f>IFERROR(INDEX(納入全般清單,MATCH(B206,案類名稱清單,0)),"否")</f>
        <v/>
      </c>
      <c r="R206" s="15">
        <f>IFERROR(O206*10000+IFERROR(MATCH(J206,{"尚未偵破","已破獲未移送","已移送","簽結"},0),0)*100+ROW(),0)</f>
        <v/>
      </c>
      <c r="S206" s="225" t="n"/>
      <c r="T206" s="15">
        <f>IFERROR(IF(S206="","是","否"),"是")</f>
        <v/>
      </c>
      <c r="U206" s="225" t="n"/>
    </row>
    <row r="207" ht="30" customHeight="1">
      <c r="A207" s="225" t="n"/>
      <c r="B207" s="225" t="n"/>
      <c r="C207" s="225" t="n"/>
      <c r="D207" s="226" t="n"/>
      <c r="E207" s="225" t="n"/>
      <c r="F207" s="226" t="n"/>
      <c r="G207" s="225" t="n"/>
      <c r="H207" s="225" t="n"/>
      <c r="I207" s="225" t="n"/>
      <c r="J207" s="225" t="n"/>
      <c r="K207" s="225" t="n"/>
      <c r="L207" s="225" t="n"/>
      <c r="M207" s="225" t="n"/>
      <c r="N207" s="15">
        <f>IFERROR(IF(OR(J207="已破獲未移送",J207="已移送"),"是","否"),"")</f>
        <v/>
      </c>
      <c r="O207" s="15">
        <f>IFERROR(IF(D207="","",YEAR(D207)-1911),"")</f>
        <v/>
      </c>
      <c r="P207" s="15">
        <f>IFERROR(INDEX(案類分類清單,MATCH(B207,案類名稱清單,0)),"")</f>
        <v/>
      </c>
      <c r="Q207" s="15">
        <f>IFERROR(INDEX(納入全般清單,MATCH(B207,案類名稱清單,0)),"否")</f>
        <v/>
      </c>
      <c r="R207" s="15">
        <f>IFERROR(O207*10000+IFERROR(MATCH(J207,{"尚未偵破","已破獲未移送","已移送","簽結"},0),0)*100+ROW(),0)</f>
        <v/>
      </c>
      <c r="S207" s="225" t="n"/>
      <c r="T207" s="15">
        <f>IFERROR(IF(S207="","是","否"),"是")</f>
        <v/>
      </c>
      <c r="U207" s="225" t="n"/>
    </row>
    <row r="208" ht="30" customHeight="1">
      <c r="A208" s="225" t="n"/>
      <c r="B208" s="225" t="n"/>
      <c r="C208" s="225" t="n"/>
      <c r="D208" s="226" t="n"/>
      <c r="E208" s="225" t="n"/>
      <c r="F208" s="226" t="n"/>
      <c r="G208" s="225" t="n"/>
      <c r="H208" s="225" t="n"/>
      <c r="I208" s="225" t="n"/>
      <c r="J208" s="225" t="n"/>
      <c r="K208" s="225" t="n"/>
      <c r="L208" s="225" t="n"/>
      <c r="M208" s="225" t="n"/>
      <c r="N208" s="15">
        <f>IFERROR(IF(OR(J208="已破獲未移送",J208="已移送"),"是","否"),"")</f>
        <v/>
      </c>
      <c r="O208" s="15">
        <f>IFERROR(IF(D208="","",YEAR(D208)-1911),"")</f>
        <v/>
      </c>
      <c r="P208" s="15">
        <f>IFERROR(INDEX(案類分類清單,MATCH(B208,案類名稱清單,0)),"")</f>
        <v/>
      </c>
      <c r="Q208" s="15">
        <f>IFERROR(INDEX(納入全般清單,MATCH(B208,案類名稱清單,0)),"否")</f>
        <v/>
      </c>
      <c r="R208" s="15">
        <f>IFERROR(O208*10000+IFERROR(MATCH(J208,{"尚未偵破","已破獲未移送","已移送","簽結"},0),0)*100+ROW(),0)</f>
        <v/>
      </c>
      <c r="S208" s="225" t="n"/>
      <c r="T208" s="15">
        <f>IFERROR(IF(S208="","是","否"),"是")</f>
        <v/>
      </c>
      <c r="U208" s="225" t="n"/>
    </row>
    <row r="209" ht="30" customHeight="1">
      <c r="A209" s="225" t="n"/>
      <c r="B209" s="225" t="n"/>
      <c r="C209" s="225" t="n"/>
      <c r="D209" s="226" t="n"/>
      <c r="E209" s="225" t="n"/>
      <c r="F209" s="226" t="n"/>
      <c r="G209" s="225" t="n"/>
      <c r="H209" s="225" t="n"/>
      <c r="I209" s="225" t="n"/>
      <c r="J209" s="225" t="n"/>
      <c r="K209" s="225" t="n"/>
      <c r="L209" s="225" t="n"/>
      <c r="M209" s="225" t="n"/>
      <c r="N209" s="15">
        <f>IFERROR(IF(OR(J209="已破獲未移送",J209="已移送"),"是","否"),"")</f>
        <v/>
      </c>
      <c r="O209" s="15">
        <f>IFERROR(IF(D209="","",YEAR(D209)-1911),"")</f>
        <v/>
      </c>
      <c r="P209" s="15">
        <f>IFERROR(INDEX(案類分類清單,MATCH(B209,案類名稱清單,0)),"")</f>
        <v/>
      </c>
      <c r="Q209" s="15">
        <f>IFERROR(INDEX(納入全般清單,MATCH(B209,案類名稱清單,0)),"否")</f>
        <v/>
      </c>
      <c r="R209" s="15">
        <f>IFERROR(O209*10000+IFERROR(MATCH(J209,{"尚未偵破","已破獲未移送","已移送","簽結"},0),0)*100+ROW(),0)</f>
        <v/>
      </c>
      <c r="S209" s="225" t="n"/>
      <c r="T209" s="15">
        <f>IFERROR(IF(S209="","是","否"),"是")</f>
        <v/>
      </c>
      <c r="U209" s="225" t="n"/>
    </row>
    <row r="210" ht="30" customHeight="1">
      <c r="A210" s="225" t="n"/>
      <c r="B210" s="225" t="n"/>
      <c r="C210" s="225" t="n"/>
      <c r="D210" s="226" t="n"/>
      <c r="E210" s="225" t="n"/>
      <c r="F210" s="226" t="n"/>
      <c r="G210" s="225" t="n"/>
      <c r="H210" s="225" t="n"/>
      <c r="I210" s="225" t="n"/>
      <c r="J210" s="225" t="n"/>
      <c r="K210" s="225" t="n"/>
      <c r="L210" s="225" t="n"/>
      <c r="M210" s="225" t="n"/>
      <c r="N210" s="15">
        <f>IFERROR(IF(OR(J210="已破獲未移送",J210="已移送"),"是","否"),"")</f>
        <v/>
      </c>
      <c r="O210" s="15">
        <f>IFERROR(IF(D210="","",YEAR(D210)-1911),"")</f>
        <v/>
      </c>
      <c r="P210" s="15">
        <f>IFERROR(INDEX(案類分類清單,MATCH(B210,案類名稱清單,0)),"")</f>
        <v/>
      </c>
      <c r="Q210" s="15">
        <f>IFERROR(INDEX(納入全般清單,MATCH(B210,案類名稱清單,0)),"否")</f>
        <v/>
      </c>
      <c r="R210" s="15">
        <f>IFERROR(O210*10000+IFERROR(MATCH(J210,{"尚未偵破","已破獲未移送","已移送","簽結"},0),0)*100+ROW(),0)</f>
        <v/>
      </c>
      <c r="S210" s="225" t="n"/>
      <c r="T210" s="15">
        <f>IFERROR(IF(S210="","是","否"),"是")</f>
        <v/>
      </c>
      <c r="U210" s="225" t="n"/>
    </row>
    <row r="211" ht="30" customHeight="1">
      <c r="A211" s="225" t="n"/>
      <c r="B211" s="225" t="n"/>
      <c r="C211" s="225" t="n"/>
      <c r="D211" s="226" t="n"/>
      <c r="E211" s="225" t="n"/>
      <c r="F211" s="226" t="n"/>
      <c r="G211" s="225" t="n"/>
      <c r="H211" s="225" t="n"/>
      <c r="I211" s="225" t="n"/>
      <c r="J211" s="225" t="n"/>
      <c r="K211" s="225" t="n"/>
      <c r="L211" s="225" t="n"/>
      <c r="M211" s="225" t="n"/>
      <c r="N211" s="15">
        <f>IFERROR(IF(OR(J211="已破獲未移送",J211="已移送"),"是","否"),"")</f>
        <v/>
      </c>
      <c r="O211" s="15">
        <f>IFERROR(IF(D211="","",YEAR(D211)-1911),"")</f>
        <v/>
      </c>
      <c r="P211" s="15">
        <f>IFERROR(INDEX(案類分類清單,MATCH(B211,案類名稱清單,0)),"")</f>
        <v/>
      </c>
      <c r="Q211" s="15">
        <f>IFERROR(INDEX(納入全般清單,MATCH(B211,案類名稱清單,0)),"否")</f>
        <v/>
      </c>
      <c r="R211" s="15">
        <f>IFERROR(O211*10000+IFERROR(MATCH(J211,{"尚未偵破","已破獲未移送","已移送","簽結"},0),0)*100+ROW(),0)</f>
        <v/>
      </c>
      <c r="S211" s="225" t="n"/>
      <c r="T211" s="15">
        <f>IFERROR(IF(S211="","是","否"),"是")</f>
        <v/>
      </c>
      <c r="U211" s="225" t="n"/>
    </row>
    <row r="212" ht="30" customHeight="1">
      <c r="A212" s="225" t="n"/>
      <c r="B212" s="225" t="n"/>
      <c r="C212" s="225" t="n"/>
      <c r="D212" s="226" t="n"/>
      <c r="E212" s="225" t="n"/>
      <c r="F212" s="226" t="n"/>
      <c r="G212" s="225" t="n"/>
      <c r="H212" s="225" t="n"/>
      <c r="I212" s="225" t="n"/>
      <c r="J212" s="225" t="n"/>
      <c r="K212" s="225" t="n"/>
      <c r="L212" s="225" t="n"/>
      <c r="M212" s="225" t="n"/>
      <c r="N212" s="15">
        <f>IFERROR(IF(OR(J212="已破獲未移送",J212="已移送"),"是","否"),"")</f>
        <v/>
      </c>
      <c r="O212" s="15">
        <f>IFERROR(IF(D212="","",YEAR(D212)-1911),"")</f>
        <v/>
      </c>
      <c r="P212" s="15">
        <f>IFERROR(INDEX(案類分類清單,MATCH(B212,案類名稱清單,0)),"")</f>
        <v/>
      </c>
      <c r="Q212" s="15">
        <f>IFERROR(INDEX(納入全般清單,MATCH(B212,案類名稱清單,0)),"否")</f>
        <v/>
      </c>
      <c r="R212" s="15">
        <f>IFERROR(O212*10000+IFERROR(MATCH(J212,{"尚未偵破","已破獲未移送","已移送","簽結"},0),0)*100+ROW(),0)</f>
        <v/>
      </c>
      <c r="S212" s="225" t="n"/>
      <c r="T212" s="15">
        <f>IFERROR(IF(S212="","是","否"),"是")</f>
        <v/>
      </c>
      <c r="U212" s="225" t="n"/>
    </row>
    <row r="213" ht="30" customHeight="1">
      <c r="A213" s="225" t="n"/>
      <c r="B213" s="225" t="n"/>
      <c r="C213" s="225" t="n"/>
      <c r="D213" s="226" t="n"/>
      <c r="E213" s="225" t="n"/>
      <c r="F213" s="226" t="n"/>
      <c r="G213" s="225" t="n"/>
      <c r="H213" s="225" t="n"/>
      <c r="I213" s="225" t="n"/>
      <c r="J213" s="225" t="n"/>
      <c r="K213" s="225" t="n"/>
      <c r="L213" s="225" t="n"/>
      <c r="M213" s="225" t="n"/>
      <c r="N213" s="15">
        <f>IFERROR(IF(OR(J213="已破獲未移送",J213="已移送"),"是","否"),"")</f>
        <v/>
      </c>
      <c r="O213" s="15">
        <f>IFERROR(IF(D213="","",YEAR(D213)-1911),"")</f>
        <v/>
      </c>
      <c r="P213" s="15">
        <f>IFERROR(INDEX(案類分類清單,MATCH(B213,案類名稱清單,0)),"")</f>
        <v/>
      </c>
      <c r="Q213" s="15">
        <f>IFERROR(INDEX(納入全般清單,MATCH(B213,案類名稱清單,0)),"否")</f>
        <v/>
      </c>
      <c r="R213" s="15">
        <f>IFERROR(O213*10000+IFERROR(MATCH(J213,{"尚未偵破","已破獲未移送","已移送","簽結"},0),0)*100+ROW(),0)</f>
        <v/>
      </c>
      <c r="S213" s="225" t="n"/>
      <c r="T213" s="15">
        <f>IFERROR(IF(S213="","是","否"),"是")</f>
        <v/>
      </c>
      <c r="U213" s="225" t="n"/>
    </row>
    <row r="214" ht="30" customHeight="1">
      <c r="A214" s="225" t="n"/>
      <c r="B214" s="225" t="n"/>
      <c r="C214" s="225" t="n"/>
      <c r="D214" s="226" t="n"/>
      <c r="E214" s="225" t="n"/>
      <c r="F214" s="226" t="n"/>
      <c r="G214" s="225" t="n"/>
      <c r="H214" s="225" t="n"/>
      <c r="I214" s="225" t="n"/>
      <c r="J214" s="225" t="n"/>
      <c r="K214" s="225" t="n"/>
      <c r="L214" s="225" t="n"/>
      <c r="M214" s="225" t="n"/>
      <c r="N214" s="15">
        <f>IFERROR(IF(OR(J214="已破獲未移送",J214="已移送"),"是","否"),"")</f>
        <v/>
      </c>
      <c r="O214" s="15">
        <f>IFERROR(IF(D214="","",YEAR(D214)-1911),"")</f>
        <v/>
      </c>
      <c r="P214" s="15">
        <f>IFERROR(INDEX(案類分類清單,MATCH(B214,案類名稱清單,0)),"")</f>
        <v/>
      </c>
      <c r="Q214" s="15">
        <f>IFERROR(INDEX(納入全般清單,MATCH(B214,案類名稱清單,0)),"否")</f>
        <v/>
      </c>
      <c r="R214" s="15">
        <f>IFERROR(O214*10000+IFERROR(MATCH(J214,{"尚未偵破","已破獲未移送","已移送","簽結"},0),0)*100+ROW(),0)</f>
        <v/>
      </c>
      <c r="S214" s="225" t="n"/>
      <c r="T214" s="15">
        <f>IFERROR(IF(S214="","是","否"),"是")</f>
        <v/>
      </c>
      <c r="U214" s="225" t="n"/>
    </row>
    <row r="215" ht="30" customHeight="1">
      <c r="A215" s="225" t="n"/>
      <c r="B215" s="225" t="n"/>
      <c r="C215" s="225" t="n"/>
      <c r="D215" s="226" t="n"/>
      <c r="E215" s="225" t="n"/>
      <c r="F215" s="226" t="n"/>
      <c r="G215" s="225" t="n"/>
      <c r="H215" s="225" t="n"/>
      <c r="I215" s="225" t="n"/>
      <c r="J215" s="225" t="n"/>
      <c r="K215" s="225" t="n"/>
      <c r="L215" s="225" t="n"/>
      <c r="M215" s="225" t="n"/>
      <c r="N215" s="15">
        <f>IFERROR(IF(OR(J215="已破獲未移送",J215="已移送"),"是","否"),"")</f>
        <v/>
      </c>
      <c r="O215" s="15">
        <f>IFERROR(IF(D215="","",YEAR(D215)-1911),"")</f>
        <v/>
      </c>
      <c r="P215" s="15">
        <f>IFERROR(INDEX(案類分類清單,MATCH(B215,案類名稱清單,0)),"")</f>
        <v/>
      </c>
      <c r="Q215" s="15">
        <f>IFERROR(INDEX(納入全般清單,MATCH(B215,案類名稱清單,0)),"否")</f>
        <v/>
      </c>
      <c r="R215" s="15">
        <f>IFERROR(O215*10000+IFERROR(MATCH(J215,{"尚未偵破","已破獲未移送","已移送","簽結"},0),0)*100+ROW(),0)</f>
        <v/>
      </c>
      <c r="S215" s="225" t="n"/>
      <c r="T215" s="15">
        <f>IFERROR(IF(S215="","是","否"),"是")</f>
        <v/>
      </c>
      <c r="U215" s="225" t="n"/>
    </row>
    <row r="216" ht="30" customHeight="1">
      <c r="A216" s="225" t="n"/>
      <c r="B216" s="225" t="n"/>
      <c r="C216" s="225" t="n"/>
      <c r="D216" s="226" t="n"/>
      <c r="E216" s="225" t="n"/>
      <c r="F216" s="226" t="n"/>
      <c r="G216" s="225" t="n"/>
      <c r="H216" s="225" t="n"/>
      <c r="I216" s="225" t="n"/>
      <c r="J216" s="225" t="n"/>
      <c r="K216" s="225" t="n"/>
      <c r="L216" s="225" t="n"/>
      <c r="M216" s="225" t="n"/>
      <c r="N216" s="15">
        <f>IFERROR(IF(OR(J216="已破獲未移送",J216="已移送"),"是","否"),"")</f>
        <v/>
      </c>
      <c r="O216" s="15">
        <f>IFERROR(IF(D216="","",YEAR(D216)-1911),"")</f>
        <v/>
      </c>
      <c r="P216" s="15">
        <f>IFERROR(INDEX(案類分類清單,MATCH(B216,案類名稱清單,0)),"")</f>
        <v/>
      </c>
      <c r="Q216" s="15">
        <f>IFERROR(INDEX(納入全般清單,MATCH(B216,案類名稱清單,0)),"否")</f>
        <v/>
      </c>
      <c r="R216" s="15">
        <f>IFERROR(O216*10000+IFERROR(MATCH(J216,{"尚未偵破","已破獲未移送","已移送","簽結"},0),0)*100+ROW(),0)</f>
        <v/>
      </c>
      <c r="S216" s="225" t="n"/>
      <c r="T216" s="15">
        <f>IFERROR(IF(S216="","是","否"),"是")</f>
        <v/>
      </c>
      <c r="U216" s="225" t="n"/>
    </row>
    <row r="217" ht="30" customHeight="1">
      <c r="A217" s="225" t="n"/>
      <c r="B217" s="225" t="n"/>
      <c r="C217" s="225" t="n"/>
      <c r="D217" s="226" t="n"/>
      <c r="E217" s="225" t="n"/>
      <c r="F217" s="226" t="n"/>
      <c r="G217" s="225" t="n"/>
      <c r="H217" s="225" t="n"/>
      <c r="I217" s="225" t="n"/>
      <c r="J217" s="225" t="n"/>
      <c r="K217" s="225" t="n"/>
      <c r="L217" s="225" t="n"/>
      <c r="M217" s="225" t="n"/>
      <c r="N217" s="15">
        <f>IFERROR(IF(OR(J217="已破獲未移送",J217="已移送"),"是","否"),"")</f>
        <v/>
      </c>
      <c r="O217" s="15">
        <f>IFERROR(IF(D217="","",YEAR(D217)-1911),"")</f>
        <v/>
      </c>
      <c r="P217" s="15">
        <f>IFERROR(INDEX(案類分類清單,MATCH(B217,案類名稱清單,0)),"")</f>
        <v/>
      </c>
      <c r="Q217" s="15">
        <f>IFERROR(INDEX(納入全般清單,MATCH(B217,案類名稱清單,0)),"否")</f>
        <v/>
      </c>
      <c r="R217" s="15">
        <f>IFERROR(O217*10000+IFERROR(MATCH(J217,{"尚未偵破","已破獲未移送","已移送","簽結"},0),0)*100+ROW(),0)</f>
        <v/>
      </c>
      <c r="S217" s="225" t="n"/>
      <c r="T217" s="15">
        <f>IFERROR(IF(S217="","是","否"),"是")</f>
        <v/>
      </c>
      <c r="U217" s="225" t="n"/>
    </row>
    <row r="218" ht="30" customHeight="1">
      <c r="A218" s="225" t="n"/>
      <c r="B218" s="225" t="n"/>
      <c r="C218" s="225" t="n"/>
      <c r="D218" s="226" t="n"/>
      <c r="E218" s="225" t="n"/>
      <c r="F218" s="226" t="n"/>
      <c r="G218" s="225" t="n"/>
      <c r="H218" s="225" t="n"/>
      <c r="I218" s="225" t="n"/>
      <c r="J218" s="225" t="n"/>
      <c r="K218" s="225" t="n"/>
      <c r="L218" s="225" t="n"/>
      <c r="M218" s="225" t="n"/>
      <c r="N218" s="15">
        <f>IFERROR(IF(OR(J218="已破獲未移送",J218="已移送"),"是","否"),"")</f>
        <v/>
      </c>
      <c r="O218" s="15">
        <f>IFERROR(IF(D218="","",YEAR(D218)-1911),"")</f>
        <v/>
      </c>
      <c r="P218" s="15">
        <f>IFERROR(INDEX(案類分類清單,MATCH(B218,案類名稱清單,0)),"")</f>
        <v/>
      </c>
      <c r="Q218" s="15">
        <f>IFERROR(INDEX(納入全般清單,MATCH(B218,案類名稱清單,0)),"否")</f>
        <v/>
      </c>
      <c r="R218" s="15">
        <f>IFERROR(O218*10000+IFERROR(MATCH(J218,{"尚未偵破","已破獲未移送","已移送","簽結"},0),0)*100+ROW(),0)</f>
        <v/>
      </c>
      <c r="S218" s="225" t="n"/>
      <c r="T218" s="15">
        <f>IFERROR(IF(S218="","是","否"),"是")</f>
        <v/>
      </c>
      <c r="U218" s="22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S15:S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6">
        <f>"● 新進（≤"&amp;新進閾值&amp;" 日）"</f>
        <v/>
      </c>
      <c r="B6" s="8" t="n"/>
      <c r="C6" s="47">
        <f>3</f>
        <v/>
      </c>
    </row>
    <row r="7" ht="32" customHeight="1">
      <c r="A7" s="48">
        <f>"⚠ 偵辦中（"&amp;(新進閾值+1)&amp;"-"&amp;老案閾值&amp;" 日）"</f>
        <v/>
      </c>
      <c r="B7" s="8" t="n"/>
      <c r="C7" s="49">
        <f>4</f>
        <v/>
      </c>
    </row>
    <row r="8" ht="32" customHeight="1">
      <c r="A8" s="50">
        <f>"✕ 老案（&gt;"&amp;老案閾值&amp;" 日）"</f>
        <v/>
      </c>
      <c r="B8" s="8" t="n"/>
      <c r="C8" s="51">
        <f>1</f>
        <v/>
      </c>
    </row>
    <row r="9" ht="8" customHeight="1"/>
    <row r="10" ht="26" customHeight="1">
      <c r="A10" s="52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n"/>
      <c r="B14" s="227" t="n"/>
      <c r="C14" s="223" t="n"/>
      <c r="D14" s="223" t="n"/>
      <c r="E14" s="227" t="n"/>
      <c r="F14" s="227" t="n"/>
      <c r="G14" s="223" t="n"/>
      <c r="H14" s="223" t="n"/>
      <c r="I14" s="223" t="n"/>
      <c r="J14" s="15" t="n">
        <v>4</v>
      </c>
      <c r="K14" s="53" t="inlineStr">
        <is>
          <t>● 綠</t>
        </is>
      </c>
      <c r="M14" s="54" t="inlineStr">
        <is>
          <t>003</t>
        </is>
      </c>
      <c r="N14" s="55" t="inlineStr">
        <is>
          <t>夜店毒品流通
已成熟 · 24 日</t>
        </is>
      </c>
      <c r="O14" s="56" t="inlineStr">
        <is>
          <t>轉案件</t>
        </is>
      </c>
    </row>
    <row r="15" ht="40" customHeight="1">
      <c r="A15" s="223" t="n"/>
      <c r="B15" s="227" t="n"/>
      <c r="C15" s="223" t="n"/>
      <c r="D15" s="223" t="n"/>
      <c r="E15" s="227" t="n"/>
      <c r="F15" s="227" t="n"/>
      <c r="G15" s="223" t="n"/>
      <c r="H15" s="223" t="n"/>
      <c r="I15" s="223" t="n"/>
      <c r="J15" s="15" t="n">
        <v>14</v>
      </c>
      <c r="K15" s="57" t="inlineStr">
        <is>
          <t>⚠ 黃</t>
        </is>
      </c>
      <c r="M15" s="54" t="inlineStr">
        <is>
          <t>005</t>
        </is>
      </c>
      <c r="N15" s="55" t="inlineStr">
        <is>
          <t>外勞集資詐騙
已成熟 · 20 日</t>
        </is>
      </c>
      <c r="O15" s="56" t="inlineStr">
        <is>
          <t>轉案件</t>
        </is>
      </c>
    </row>
    <row r="16" ht="40" customHeight="1">
      <c r="A16" s="223" t="n"/>
      <c r="B16" s="227" t="n"/>
      <c r="C16" s="223" t="n"/>
      <c r="D16" s="223" t="n"/>
      <c r="E16" s="227" t="n"/>
      <c r="F16" s="227" t="n"/>
      <c r="G16" s="223" t="n"/>
      <c r="H16" s="223" t="n"/>
      <c r="I16" s="223" t="n"/>
      <c r="J16" s="15" t="n">
        <v>24</v>
      </c>
      <c r="K16" s="57" t="inlineStr">
        <is>
          <t>⚠ 黃</t>
        </is>
      </c>
      <c r="M16" s="58" t="inlineStr">
        <is>
          <t>004</t>
        </is>
      </c>
      <c r="N16" s="59" t="inlineStr">
        <is>
          <t>○○街頭聚賭
老案逾 30 · 36 日</t>
        </is>
      </c>
      <c r="O16" s="60" t="inlineStr">
        <is>
          <t>評估簽結</t>
        </is>
      </c>
    </row>
    <row r="17" ht="30" customHeight="1">
      <c r="A17" s="223" t="n"/>
      <c r="B17" s="227" t="n"/>
      <c r="C17" s="223" t="n"/>
      <c r="D17" s="223" t="n"/>
      <c r="E17" s="227" t="n"/>
      <c r="F17" s="227" t="n"/>
      <c r="G17" s="223" t="n"/>
      <c r="H17" s="223" t="n"/>
      <c r="I17" s="223" t="n"/>
      <c r="J17" s="15" t="n">
        <v>36</v>
      </c>
      <c r="K17" s="61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n"/>
      <c r="B18" s="227" t="n"/>
      <c r="C18" s="223" t="n"/>
      <c r="D18" s="223" t="n"/>
      <c r="E18" s="227" t="n"/>
      <c r="F18" s="227" t="n"/>
      <c r="G18" s="223" t="n"/>
      <c r="H18" s="223" t="n"/>
      <c r="I18" s="223" t="n"/>
      <c r="J18" s="15" t="n">
        <v>20</v>
      </c>
      <c r="K18" s="57" t="inlineStr">
        <is>
          <t>⚠ 黃</t>
        </is>
      </c>
    </row>
    <row r="19" ht="30" customHeight="1">
      <c r="A19" s="225" t="n"/>
      <c r="B19" s="225" t="n"/>
      <c r="C19" s="225" t="n"/>
      <c r="D19" s="225" t="n"/>
      <c r="E19" s="225" t="n"/>
      <c r="F19" s="225" t="n"/>
      <c r="G19" s="225" t="n"/>
      <c r="H19" s="225" t="n"/>
      <c r="I19" s="225" t="n"/>
      <c r="J19" s="62" t="n"/>
      <c r="K19" s="62" t="n"/>
    </row>
    <row r="20" ht="30" customHeight="1">
      <c r="A20" s="225" t="n"/>
      <c r="B20" s="225" t="n"/>
      <c r="C20" s="225" t="n"/>
      <c r="D20" s="225" t="n"/>
      <c r="E20" s="225" t="n"/>
      <c r="F20" s="225" t="n"/>
      <c r="G20" s="225" t="n"/>
      <c r="H20" s="225" t="n"/>
      <c r="I20" s="225" t="n"/>
      <c r="J20" s="62" t="n"/>
      <c r="K20" s="62" t="n"/>
    </row>
    <row r="21" ht="30" customHeight="1">
      <c r="A21" s="225" t="n"/>
      <c r="B21" s="225" t="n"/>
      <c r="C21" s="225" t="n"/>
      <c r="D21" s="225" t="n"/>
      <c r="E21" s="225" t="n"/>
      <c r="F21" s="225" t="n"/>
      <c r="G21" s="225" t="n"/>
      <c r="H21" s="225" t="n"/>
      <c r="I21" s="225" t="n"/>
      <c r="J21" s="62" t="n"/>
      <c r="K21" s="62" t="n"/>
    </row>
    <row r="22" ht="30" customHeight="1">
      <c r="A22" s="225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62" t="n"/>
      <c r="K22" s="62" t="n"/>
    </row>
    <row r="23" ht="30" customHeight="1">
      <c r="A23" s="225" t="n"/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62" t="n"/>
      <c r="K23" s="62" t="n"/>
    </row>
    <row r="24" ht="30" customHeight="1">
      <c r="A24" s="225" t="n"/>
      <c r="B24" s="225" t="n"/>
      <c r="C24" s="225" t="n"/>
      <c r="D24" s="225" t="n"/>
      <c r="E24" s="225" t="n"/>
      <c r="F24" s="225" t="n"/>
      <c r="G24" s="225" t="n"/>
      <c r="H24" s="225" t="n"/>
      <c r="I24" s="225" t="n"/>
      <c r="J24" s="62" t="n"/>
      <c r="K24" s="62" t="n"/>
    </row>
    <row r="25" ht="30" customHeight="1">
      <c r="A25" s="225" t="n"/>
      <c r="B25" s="225" t="n"/>
      <c r="C25" s="225" t="n"/>
      <c r="D25" s="225" t="n"/>
      <c r="E25" s="225" t="n"/>
      <c r="F25" s="225" t="n"/>
      <c r="G25" s="225" t="n"/>
      <c r="H25" s="225" t="n"/>
      <c r="I25" s="225" t="n"/>
      <c r="J25" s="62" t="n"/>
      <c r="K25" s="62" t="n"/>
    </row>
    <row r="26" ht="30" customHeight="1">
      <c r="A26" s="225" t="n"/>
      <c r="B26" s="225" t="n"/>
      <c r="C26" s="225" t="n"/>
      <c r="D26" s="225" t="n"/>
      <c r="E26" s="225" t="n"/>
      <c r="F26" s="225" t="n"/>
      <c r="G26" s="225" t="n"/>
      <c r="H26" s="225" t="n"/>
      <c r="I26" s="225" t="n"/>
      <c r="J26" s="62" t="n"/>
      <c r="K26" s="62" t="n"/>
    </row>
    <row r="27" ht="30" customHeight="1">
      <c r="A27" s="225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62" t="n"/>
      <c r="K27" s="62" t="n"/>
    </row>
    <row r="28" ht="30" customHeight="1">
      <c r="A28" s="225" t="n"/>
      <c r="B28" s="225" t="n"/>
      <c r="C28" s="225" t="n"/>
      <c r="D28" s="225" t="n"/>
      <c r="E28" s="225" t="n"/>
      <c r="F28" s="225" t="n"/>
      <c r="G28" s="225" t="n"/>
      <c r="H28" s="225" t="n"/>
      <c r="I28" s="225" t="n"/>
      <c r="J28" s="62" t="n"/>
      <c r="K28" s="6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63" t="n"/>
      <c r="K15" s="141">
        <f>IFERROR(IF(J15="","",今日-J15),"")</f>
        <v/>
      </c>
      <c r="L15" s="141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1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63" t="n"/>
      <c r="K16" s="141">
        <f>IFERROR(IF(J16="","",今日-J16),"")</f>
        <v/>
      </c>
      <c r="L16" s="141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1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63" t="n"/>
      <c r="K17" s="141">
        <f>IFERROR(IF(J17="","",今日-J17),"")</f>
        <v/>
      </c>
      <c r="L17" s="141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1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63" t="n"/>
      <c r="K18" s="141">
        <f>IFERROR(IF(J18="","",今日-J18),"")</f>
        <v/>
      </c>
      <c r="L18" s="141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1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63" t="n"/>
      <c r="K19" s="141">
        <f>IFERROR(IF(J19="","",今日-J19),"")</f>
        <v/>
      </c>
      <c r="L19" s="141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1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3" t="n"/>
      <c r="K20" s="141">
        <f>IFERROR(IF(J20="","",今日-J20),"")</f>
        <v/>
      </c>
      <c r="L20" s="141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1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3" t="n"/>
      <c r="K21" s="141">
        <f>IFERROR(IF(J21="","",今日-J21),"")</f>
        <v/>
      </c>
      <c r="L21" s="141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1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3" t="n"/>
      <c r="K22" s="141">
        <f>IFERROR(IF(J22="","",今日-J22),"")</f>
        <v/>
      </c>
      <c r="L22" s="141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1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3" t="n"/>
      <c r="K23" s="141">
        <f>IFERROR(IF(J23="","",今日-J23),"")</f>
        <v/>
      </c>
      <c r="L23" s="141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1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3" t="n"/>
      <c r="K24" s="141">
        <f>IFERROR(IF(J24="","",今日-J24),"")</f>
        <v/>
      </c>
      <c r="L24" s="141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1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3" t="n"/>
      <c r="K25" s="141">
        <f>IFERROR(IF(J25="","",今日-J25),"")</f>
        <v/>
      </c>
      <c r="L25" s="141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1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3" t="n"/>
      <c r="K26" s="141">
        <f>IFERROR(IF(J26="","",今日-J26),"")</f>
        <v/>
      </c>
      <c r="L26" s="141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1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3" t="n"/>
      <c r="K27" s="141">
        <f>IFERROR(IF(J27="","",今日-J27),"")</f>
        <v/>
      </c>
      <c r="L27" s="141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1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3" t="n"/>
      <c r="K28" s="141">
        <f>IFERROR(IF(J28="","",今日-J28),"")</f>
        <v/>
      </c>
      <c r="L28" s="141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1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3" t="n"/>
      <c r="K29" s="141">
        <f>IFERROR(IF(J29="","",今日-J29),"")</f>
        <v/>
      </c>
      <c r="L29" s="141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1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3" t="n"/>
      <c r="K30" s="141">
        <f>IFERROR(IF(J30="","",今日-J30),"")</f>
        <v/>
      </c>
      <c r="L30" s="141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1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3" t="n"/>
      <c r="K31" s="141">
        <f>IFERROR(IF(J31="","",今日-J31),"")</f>
        <v/>
      </c>
      <c r="L31" s="141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1">
        <f>IFERROR(IF(OR(ISNUMBER(SEARCH("未到驗",H31)),AND(ISNUMBER(K31),K31&gt;30)),1,0),0)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3" t="n"/>
      <c r="K32" s="141">
        <f>IFERROR(IF(J32="","",今日-J32),"")</f>
        <v/>
      </c>
      <c r="L32" s="141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1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3" t="n"/>
      <c r="K33" s="141">
        <f>IFERROR(IF(J33="","",今日-J33),"")</f>
        <v/>
      </c>
      <c r="L33" s="141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1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3" t="n"/>
      <c r="K34" s="141">
        <f>IFERROR(IF(J34="","",今日-J34),"")</f>
        <v/>
      </c>
      <c r="L34" s="141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1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3" t="n"/>
      <c r="K35" s="141">
        <f>IFERROR(IF(J35="","",今日-J35),"")</f>
        <v/>
      </c>
      <c r="L35" s="141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1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3" t="n"/>
      <c r="K36" s="141">
        <f>IFERROR(IF(J36="","",今日-J36),"")</f>
        <v/>
      </c>
      <c r="L36" s="141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1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3" t="n"/>
      <c r="K37" s="141">
        <f>IFERROR(IF(J37="","",今日-J37),"")</f>
        <v/>
      </c>
      <c r="L37" s="141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1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3" t="n"/>
      <c r="K38" s="141">
        <f>IFERROR(IF(J38="","",今日-J38),"")</f>
        <v/>
      </c>
      <c r="L38" s="141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1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3" t="n"/>
      <c r="K39" s="141">
        <f>IFERROR(IF(J39="","",今日-J39),"")</f>
        <v/>
      </c>
      <c r="L39" s="141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1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3" t="n"/>
      <c r="K40" s="141">
        <f>IFERROR(IF(J40="","",今日-J40),"")</f>
        <v/>
      </c>
      <c r="L40" s="141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1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3" t="n"/>
      <c r="K41" s="141">
        <f>IFERROR(IF(J41="","",今日-J41),"")</f>
        <v/>
      </c>
      <c r="L41" s="141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1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3" t="n"/>
      <c r="K42" s="141">
        <f>IFERROR(IF(J42="","",今日-J42),"")</f>
        <v/>
      </c>
      <c r="L42" s="141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1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3" t="n"/>
      <c r="K43" s="141">
        <f>IFERROR(IF(J43="","",今日-J43),"")</f>
        <v/>
      </c>
      <c r="L43" s="141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1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3" t="n"/>
      <c r="K44" s="141">
        <f>IFERROR(IF(J44="","",今日-J44),"")</f>
        <v/>
      </c>
      <c r="L44" s="141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1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3" t="n"/>
      <c r="K45" s="141">
        <f>IFERROR(IF(J45="","",今日-J45),"")</f>
        <v/>
      </c>
      <c r="L45" s="141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1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3" t="n"/>
      <c r="K46" s="141">
        <f>IFERROR(IF(J46="","",今日-J46),"")</f>
        <v/>
      </c>
      <c r="L46" s="141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1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3" t="n"/>
      <c r="K47" s="141">
        <f>IFERROR(IF(J47="","",今日-J47),"")</f>
        <v/>
      </c>
      <c r="L47" s="141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1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3" t="n"/>
      <c r="K48" s="141">
        <f>IFERROR(IF(J48="","",今日-J48),"")</f>
        <v/>
      </c>
      <c r="L48" s="141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1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3" t="n"/>
      <c r="K49" s="141">
        <f>IFERROR(IF(J49="","",今日-J49),"")</f>
        <v/>
      </c>
      <c r="L49" s="141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1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3" t="n"/>
      <c r="K50" s="141">
        <f>IFERROR(IF(J50="","",今日-J50),"")</f>
        <v/>
      </c>
      <c r="L50" s="141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1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3" t="n"/>
      <c r="K51" s="141">
        <f>IFERROR(IF(J51="","",今日-J51),"")</f>
        <v/>
      </c>
      <c r="L51" s="141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1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3" t="n"/>
      <c r="K52" s="141">
        <f>IFERROR(IF(J52="","",今日-J52),"")</f>
        <v/>
      </c>
      <c r="L52" s="141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1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3" t="n"/>
      <c r="K53" s="141">
        <f>IFERROR(IF(J53="","",今日-J53),"")</f>
        <v/>
      </c>
      <c r="L53" s="141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1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3" t="n"/>
      <c r="K54" s="141">
        <f>IFERROR(IF(J54="","",今日-J54),"")</f>
        <v/>
      </c>
      <c r="L54" s="141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1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3" t="n"/>
      <c r="K55" s="141">
        <f>IFERROR(IF(J55="","",今日-J55),"")</f>
        <v/>
      </c>
      <c r="L55" s="141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1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3" t="n"/>
      <c r="K56" s="141">
        <f>IFERROR(IF(J56="","",今日-J56),"")</f>
        <v/>
      </c>
      <c r="L56" s="141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1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3" t="n"/>
      <c r="K57" s="141">
        <f>IFERROR(IF(J57="","",今日-J57),"")</f>
        <v/>
      </c>
      <c r="L57" s="141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1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3" t="n"/>
      <c r="K58" s="141">
        <f>IFERROR(IF(J58="","",今日-J58),"")</f>
        <v/>
      </c>
      <c r="L58" s="141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1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3" t="n"/>
      <c r="K59" s="141">
        <f>IFERROR(IF(J59="","",今日-J59),"")</f>
        <v/>
      </c>
      <c r="L59" s="141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1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3" t="n"/>
      <c r="K60" s="141">
        <f>IFERROR(IF(J60="","",今日-J60),"")</f>
        <v/>
      </c>
      <c r="L60" s="141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1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3" t="n"/>
      <c r="K61" s="141">
        <f>IFERROR(IF(J61="","",今日-J61),"")</f>
        <v/>
      </c>
      <c r="L61" s="141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1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3" t="n"/>
      <c r="K62" s="141">
        <f>IFERROR(IF(J62="","",今日-J62),"")</f>
        <v/>
      </c>
      <c r="L62" s="141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1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3" t="n"/>
      <c r="K63" s="141">
        <f>IFERROR(IF(J63="","",今日-J63),"")</f>
        <v/>
      </c>
      <c r="L63" s="141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1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3" t="n"/>
      <c r="K64" s="141">
        <f>IFERROR(IF(J64="","",今日-J64),"")</f>
        <v/>
      </c>
      <c r="L64" s="141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1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3" t="n"/>
      <c r="K65" s="141">
        <f>IFERROR(IF(J65="","",今日-J65),"")</f>
        <v/>
      </c>
      <c r="L65" s="141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1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3" t="n"/>
      <c r="K66" s="141">
        <f>IFERROR(IF(J66="","",今日-J66),"")</f>
        <v/>
      </c>
      <c r="L66" s="141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1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3" t="n"/>
      <c r="K67" s="141">
        <f>IFERROR(IF(J67="","",今日-J67),"")</f>
        <v/>
      </c>
      <c r="L67" s="141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1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3" t="n"/>
      <c r="K68" s="141">
        <f>IFERROR(IF(J68="","",今日-J68),"")</f>
        <v/>
      </c>
      <c r="L68" s="141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1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3" t="n"/>
      <c r="K69" s="141">
        <f>IFERROR(IF(J69="","",今日-J69),"")</f>
        <v/>
      </c>
      <c r="L69" s="141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1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3" t="n"/>
      <c r="K70" s="141">
        <f>IFERROR(IF(J70="","",今日-J70),"")</f>
        <v/>
      </c>
      <c r="L70" s="141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1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3" t="n"/>
      <c r="K71" s="141">
        <f>IFERROR(IF(J71="","",今日-J71),"")</f>
        <v/>
      </c>
      <c r="L71" s="141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1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3" t="n"/>
      <c r="K72" s="141">
        <f>IFERROR(IF(J72="","",今日-J72),"")</f>
        <v/>
      </c>
      <c r="L72" s="141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1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3" t="n"/>
      <c r="K73" s="141">
        <f>IFERROR(IF(J73="","",今日-J73),"")</f>
        <v/>
      </c>
      <c r="L73" s="141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1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3" t="n"/>
      <c r="K74" s="141">
        <f>IFERROR(IF(J74="","",今日-J74),"")</f>
        <v/>
      </c>
      <c r="L74" s="141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1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3" t="n"/>
      <c r="K75" s="141">
        <f>IFERROR(IF(J75="","",今日-J75),"")</f>
        <v/>
      </c>
      <c r="L75" s="141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1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3" t="n"/>
      <c r="K76" s="141">
        <f>IFERROR(IF(J76="","",今日-J76),"")</f>
        <v/>
      </c>
      <c r="L76" s="141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1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3" t="n"/>
      <c r="K77" s="141">
        <f>IFERROR(IF(J77="","",今日-J77),"")</f>
        <v/>
      </c>
      <c r="L77" s="141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1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3" t="n"/>
      <c r="K78" s="141">
        <f>IFERROR(IF(J78="","",今日-J78),"")</f>
        <v/>
      </c>
      <c r="L78" s="141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1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3" t="n"/>
      <c r="K79" s="141">
        <f>IFERROR(IF(J79="","",今日-J79),"")</f>
        <v/>
      </c>
      <c r="L79" s="141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1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3" t="n"/>
      <c r="K80" s="141">
        <f>IFERROR(IF(J80="","",今日-J80),"")</f>
        <v/>
      </c>
      <c r="L80" s="141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1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3" t="n"/>
      <c r="K81" s="141">
        <f>IFERROR(IF(J81="","",今日-J81),"")</f>
        <v/>
      </c>
      <c r="L81" s="141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1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3" t="n"/>
      <c r="K82" s="141">
        <f>IFERROR(IF(J82="","",今日-J82),"")</f>
        <v/>
      </c>
      <c r="L82" s="141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1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3" t="n"/>
      <c r="K83" s="141">
        <f>IFERROR(IF(J83="","",今日-J83),"")</f>
        <v/>
      </c>
      <c r="L83" s="141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1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3" t="n"/>
      <c r="K84" s="141">
        <f>IFERROR(IF(J84="","",今日-J84),"")</f>
        <v/>
      </c>
      <c r="L84" s="141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1">
        <f>IFERROR(IF(OR(ISNUMBER(SEARCH("未到驗",H84)),AND(ISNUMBER(K84),K84&gt;30)),1,0),0)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n"/>
      <c r="B15" s="228" t="n"/>
      <c r="C15" s="223" t="n"/>
      <c r="D15" s="223" t="n"/>
      <c r="E15" s="223" t="n"/>
      <c r="F15" s="223" t="n"/>
    </row>
    <row r="16" ht="30" customHeight="1">
      <c r="A16" s="223" t="n"/>
      <c r="B16" s="228" t="n"/>
      <c r="C16" s="223" t="n"/>
      <c r="D16" s="223" t="n"/>
      <c r="E16" s="223" t="n"/>
      <c r="F16" s="223" t="n"/>
    </row>
    <row r="17" ht="30" customHeight="1">
      <c r="A17" s="223" t="n"/>
      <c r="B17" s="228" t="n"/>
      <c r="C17" s="223" t="n"/>
      <c r="D17" s="223" t="n"/>
      <c r="E17" s="223" t="n"/>
      <c r="F17" s="223" t="n"/>
    </row>
    <row r="18" ht="30" customHeight="1">
      <c r="A18" s="223" t="n"/>
      <c r="B18" s="228" t="n"/>
      <c r="C18" s="223" t="n"/>
      <c r="D18" s="223" t="n"/>
      <c r="E18" s="223" t="n"/>
      <c r="F18" s="223" t="n"/>
    </row>
    <row r="19" ht="30" customHeight="1">
      <c r="A19" s="223" t="n"/>
      <c r="B19" s="228" t="n"/>
      <c r="C19" s="223" t="n"/>
      <c r="D19" s="223" t="n"/>
      <c r="E19" s="223" t="n"/>
      <c r="F19" s="223" t="n"/>
    </row>
    <row r="20" ht="30" customHeight="1">
      <c r="A20" s="225" t="n"/>
      <c r="B20" s="229" t="n"/>
      <c r="C20" s="225" t="n"/>
      <c r="D20" s="225" t="n"/>
      <c r="E20" s="225" t="n"/>
      <c r="F20" s="225" t="n"/>
    </row>
    <row r="21" ht="30" customHeight="1">
      <c r="A21" s="225" t="n"/>
      <c r="B21" s="229" t="n"/>
      <c r="C21" s="225" t="n"/>
      <c r="D21" s="225" t="n"/>
      <c r="E21" s="225" t="n"/>
      <c r="F21" s="225" t="n"/>
    </row>
    <row r="22" ht="30" customHeight="1">
      <c r="A22" s="225" t="n"/>
      <c r="B22" s="229" t="n"/>
      <c r="C22" s="225" t="n"/>
      <c r="D22" s="225" t="n"/>
      <c r="E22" s="225" t="n"/>
      <c r="F22" s="225" t="n"/>
    </row>
    <row r="23" ht="30" customHeight="1">
      <c r="A23" s="225" t="n"/>
      <c r="B23" s="229" t="n"/>
      <c r="C23" s="225" t="n"/>
      <c r="D23" s="225" t="n"/>
      <c r="E23" s="225" t="n"/>
      <c r="F23" s="225" t="n"/>
    </row>
    <row r="24" ht="30" customHeight="1">
      <c r="A24" s="225" t="n"/>
      <c r="B24" s="229" t="n"/>
      <c r="C24" s="225" t="n"/>
      <c r="D24" s="225" t="n"/>
      <c r="E24" s="225" t="n"/>
      <c r="F24" s="225" t="n"/>
    </row>
    <row r="25" ht="30" customHeight="1">
      <c r="A25" s="225" t="n"/>
      <c r="B25" s="229" t="n"/>
      <c r="C25" s="225" t="n"/>
      <c r="D25" s="225" t="n"/>
      <c r="E25" s="225" t="n"/>
      <c r="F25" s="225" t="n"/>
    </row>
    <row r="26" ht="30" customHeight="1">
      <c r="A26" s="225" t="n"/>
      <c r="B26" s="229" t="n"/>
      <c r="C26" s="225" t="n"/>
      <c r="D26" s="225" t="n"/>
      <c r="E26" s="225" t="n"/>
      <c r="F26" s="225" t="n"/>
    </row>
    <row r="27" ht="30" customHeight="1">
      <c r="A27" s="225" t="n"/>
      <c r="B27" s="229" t="n"/>
      <c r="C27" s="225" t="n"/>
      <c r="D27" s="225" t="n"/>
      <c r="E27" s="225" t="n"/>
      <c r="F27" s="225" t="n"/>
    </row>
    <row r="28" ht="30" customHeight="1">
      <c r="A28" s="225" t="n"/>
      <c r="B28" s="229" t="n"/>
      <c r="C28" s="225" t="n"/>
      <c r="D28" s="225" t="n"/>
      <c r="E28" s="225" t="n"/>
      <c r="F28" s="225" t="n"/>
    </row>
    <row r="29" ht="30" customHeight="1">
      <c r="A29" s="225" t="n"/>
      <c r="B29" s="229" t="n"/>
      <c r="C29" s="225" t="n"/>
      <c r="D29" s="225" t="n"/>
      <c r="E29" s="225" t="n"/>
      <c r="F29" s="225" t="n"/>
    </row>
    <row r="30" ht="30" customHeight="1">
      <c r="A30" s="225" t="n"/>
      <c r="B30" s="229" t="n"/>
      <c r="C30" s="225" t="n"/>
      <c r="D30" s="225" t="n"/>
      <c r="E30" s="225" t="n"/>
      <c r="F30" s="225" t="n"/>
    </row>
    <row r="31" ht="30" customHeight="1">
      <c r="A31" s="225" t="n"/>
      <c r="B31" s="229" t="n"/>
      <c r="C31" s="225" t="n"/>
      <c r="D31" s="225" t="n"/>
      <c r="E31" s="225" t="n"/>
      <c r="F31" s="225" t="n"/>
    </row>
    <row r="32" ht="30" customHeight="1">
      <c r="A32" s="225" t="n"/>
      <c r="B32" s="229" t="n"/>
      <c r="C32" s="225" t="n"/>
      <c r="D32" s="225" t="n"/>
      <c r="E32" s="225" t="n"/>
      <c r="F32" s="225" t="n"/>
    </row>
    <row r="33" ht="30" customHeight="1">
      <c r="A33" s="225" t="n"/>
      <c r="B33" s="229" t="n"/>
      <c r="C33" s="225" t="n"/>
      <c r="D33" s="225" t="n"/>
      <c r="E33" s="225" t="n"/>
      <c r="F33" s="225" t="n"/>
    </row>
    <row r="34" ht="30" customHeight="1">
      <c r="A34" s="225" t="n"/>
      <c r="B34" s="229" t="n"/>
      <c r="C34" s="225" t="n"/>
      <c r="D34" s="225" t="n"/>
      <c r="E34" s="225" t="n"/>
      <c r="F34" s="225" t="n"/>
    </row>
    <row r="35" ht="30" customHeight="1">
      <c r="A35" s="225" t="n"/>
      <c r="B35" s="229" t="n"/>
      <c r="C35" s="225" t="n"/>
      <c r="D35" s="225" t="n"/>
      <c r="E35" s="225" t="n"/>
      <c r="F35" s="225" t="n"/>
    </row>
    <row r="36" ht="30" customHeight="1">
      <c r="A36" s="225" t="n"/>
      <c r="B36" s="229" t="n"/>
      <c r="C36" s="225" t="n"/>
      <c r="D36" s="225" t="n"/>
      <c r="E36" s="225" t="n"/>
      <c r="F36" s="225" t="n"/>
    </row>
    <row r="37" ht="30" customHeight="1">
      <c r="A37" s="225" t="n"/>
      <c r="B37" s="229" t="n"/>
      <c r="C37" s="225" t="n"/>
      <c r="D37" s="225" t="n"/>
      <c r="E37" s="225" t="n"/>
      <c r="F37" s="225" t="n"/>
    </row>
    <row r="38" ht="30" customHeight="1">
      <c r="A38" s="225" t="n"/>
      <c r="B38" s="229" t="n"/>
      <c r="C38" s="225" t="n"/>
      <c r="D38" s="225" t="n"/>
      <c r="E38" s="225" t="n"/>
      <c r="F38" s="225" t="n"/>
    </row>
    <row r="39" ht="30" customHeight="1">
      <c r="A39" s="225" t="n"/>
      <c r="B39" s="229" t="n"/>
      <c r="C39" s="225" t="n"/>
      <c r="D39" s="225" t="n"/>
      <c r="E39" s="225" t="n"/>
      <c r="F39" s="225" t="n"/>
    </row>
    <row r="40" ht="30" customHeight="1">
      <c r="A40" s="225" t="n"/>
      <c r="B40" s="229" t="n"/>
      <c r="C40" s="225" t="n"/>
      <c r="D40" s="225" t="n"/>
      <c r="E40" s="225" t="n"/>
      <c r="F40" s="225" t="n"/>
    </row>
    <row r="41" ht="30" customHeight="1">
      <c r="A41" s="225" t="n"/>
      <c r="B41" s="229" t="n"/>
      <c r="C41" s="225" t="n"/>
      <c r="D41" s="225" t="n"/>
      <c r="E41" s="225" t="n"/>
      <c r="F41" s="225" t="n"/>
    </row>
    <row r="42" ht="30" customHeight="1">
      <c r="A42" s="225" t="n"/>
      <c r="B42" s="229" t="n"/>
      <c r="C42" s="225" t="n"/>
      <c r="D42" s="225" t="n"/>
      <c r="E42" s="225" t="n"/>
      <c r="F42" s="225" t="n"/>
    </row>
    <row r="43" ht="30" customHeight="1">
      <c r="A43" s="225" t="n"/>
      <c r="B43" s="229" t="n"/>
      <c r="C43" s="225" t="n"/>
      <c r="D43" s="225" t="n"/>
      <c r="E43" s="225" t="n"/>
      <c r="F43" s="225" t="n"/>
    </row>
    <row r="44" ht="30" customHeight="1">
      <c r="A44" s="225" t="n"/>
      <c r="B44" s="229" t="n"/>
      <c r="C44" s="225" t="n"/>
      <c r="D44" s="225" t="n"/>
      <c r="E44" s="225" t="n"/>
      <c r="F44" s="225" t="n"/>
    </row>
    <row r="45" ht="30" customHeight="1">
      <c r="A45" s="225" t="n"/>
      <c r="B45" s="229" t="n"/>
      <c r="C45" s="225" t="n"/>
      <c r="D45" s="225" t="n"/>
      <c r="E45" s="225" t="n"/>
      <c r="F45" s="225" t="n"/>
    </row>
    <row r="46" ht="30" customHeight="1">
      <c r="A46" s="225" t="n"/>
      <c r="B46" s="229" t="n"/>
      <c r="C46" s="225" t="n"/>
      <c r="D46" s="225" t="n"/>
      <c r="E46" s="225" t="n"/>
      <c r="F46" s="225" t="n"/>
    </row>
    <row r="47" ht="30" customHeight="1">
      <c r="A47" s="225" t="n"/>
      <c r="B47" s="229" t="n"/>
      <c r="C47" s="225" t="n"/>
      <c r="D47" s="225" t="n"/>
      <c r="E47" s="225" t="n"/>
      <c r="F47" s="225" t="n"/>
    </row>
    <row r="48" ht="30" customHeight="1">
      <c r="A48" s="225" t="n"/>
      <c r="B48" s="229" t="n"/>
      <c r="C48" s="225" t="n"/>
      <c r="D48" s="225" t="n"/>
      <c r="E48" s="225" t="n"/>
      <c r="F48" s="225" t="n"/>
    </row>
    <row r="49" ht="30" customHeight="1">
      <c r="A49" s="225" t="n"/>
      <c r="B49" s="229" t="n"/>
      <c r="C49" s="225" t="n"/>
      <c r="D49" s="225" t="n"/>
      <c r="E49" s="225" t="n"/>
      <c r="F49" s="225" t="n"/>
    </row>
    <row r="50" ht="30" customHeight="1">
      <c r="A50" s="225" t="n"/>
      <c r="B50" s="229" t="n"/>
      <c r="C50" s="225" t="n"/>
      <c r="D50" s="225" t="n"/>
      <c r="E50" s="225" t="n"/>
      <c r="F50" s="225" t="n"/>
    </row>
    <row r="51" ht="30" customHeight="1">
      <c r="A51" s="225" t="n"/>
      <c r="B51" s="229" t="n"/>
      <c r="C51" s="225" t="n"/>
      <c r="D51" s="225" t="n"/>
      <c r="E51" s="225" t="n"/>
      <c r="F51" s="225" t="n"/>
    </row>
    <row r="52" ht="30" customHeight="1">
      <c r="A52" s="225" t="n"/>
      <c r="B52" s="229" t="n"/>
      <c r="C52" s="225" t="n"/>
      <c r="D52" s="225" t="n"/>
      <c r="E52" s="225" t="n"/>
      <c r="F52" s="225" t="n"/>
    </row>
    <row r="53" ht="30" customHeight="1">
      <c r="A53" s="225" t="n"/>
      <c r="B53" s="229" t="n"/>
      <c r="C53" s="225" t="n"/>
      <c r="D53" s="225" t="n"/>
      <c r="E53" s="225" t="n"/>
      <c r="F53" s="225" t="n"/>
    </row>
    <row r="54" ht="30" customHeight="1">
      <c r="A54" s="225" t="n"/>
      <c r="B54" s="229" t="n"/>
      <c r="C54" s="225" t="n"/>
      <c r="D54" s="225" t="n"/>
      <c r="E54" s="225" t="n"/>
      <c r="F54" s="225" t="n"/>
    </row>
    <row r="55" ht="30" customHeight="1">
      <c r="A55" s="225" t="n"/>
      <c r="B55" s="229" t="n"/>
      <c r="C55" s="225" t="n"/>
      <c r="D55" s="225" t="n"/>
      <c r="E55" s="225" t="n"/>
      <c r="F55" s="225" t="n"/>
    </row>
    <row r="56" ht="30" customHeight="1">
      <c r="A56" s="225" t="n"/>
      <c r="B56" s="229" t="n"/>
      <c r="C56" s="225" t="n"/>
      <c r="D56" s="225" t="n"/>
      <c r="E56" s="225" t="n"/>
      <c r="F56" s="225" t="n"/>
    </row>
    <row r="57" ht="30" customHeight="1">
      <c r="A57" s="225" t="n"/>
      <c r="B57" s="229" t="n"/>
      <c r="C57" s="225" t="n"/>
      <c r="D57" s="225" t="n"/>
      <c r="E57" s="225" t="n"/>
      <c r="F57" s="225" t="n"/>
    </row>
    <row r="58" ht="30" customHeight="1">
      <c r="A58" s="225" t="n"/>
      <c r="B58" s="229" t="n"/>
      <c r="C58" s="225" t="n"/>
      <c r="D58" s="225" t="n"/>
      <c r="E58" s="225" t="n"/>
      <c r="F58" s="225" t="n"/>
    </row>
    <row r="59" ht="30" customHeight="1">
      <c r="A59" s="225" t="n"/>
      <c r="B59" s="229" t="n"/>
      <c r="C59" s="225" t="n"/>
      <c r="D59" s="225" t="n"/>
      <c r="E59" s="225" t="n"/>
      <c r="F59" s="225" t="n"/>
    </row>
    <row r="60" ht="30" customHeight="1">
      <c r="A60" s="225" t="n"/>
      <c r="B60" s="229" t="n"/>
      <c r="C60" s="225" t="n"/>
      <c r="D60" s="225" t="n"/>
      <c r="E60" s="225" t="n"/>
      <c r="F60" s="225" t="n"/>
    </row>
    <row r="61" ht="30" customHeight="1">
      <c r="A61" s="225" t="n"/>
      <c r="B61" s="229" t="n"/>
      <c r="C61" s="225" t="n"/>
      <c r="D61" s="225" t="n"/>
      <c r="E61" s="225" t="n"/>
      <c r="F61" s="225" t="n"/>
    </row>
    <row r="62" ht="30" customHeight="1">
      <c r="A62" s="225" t="n"/>
      <c r="B62" s="229" t="n"/>
      <c r="C62" s="225" t="n"/>
      <c r="D62" s="225" t="n"/>
      <c r="E62" s="225" t="n"/>
      <c r="F62" s="225" t="n"/>
    </row>
    <row r="63" ht="30" customHeight="1">
      <c r="A63" s="225" t="n"/>
      <c r="B63" s="229" t="n"/>
      <c r="C63" s="225" t="n"/>
      <c r="D63" s="225" t="n"/>
      <c r="E63" s="225" t="n"/>
      <c r="F63" s="225" t="n"/>
    </row>
    <row r="64" ht="30" customHeight="1">
      <c r="A64" s="225" t="n"/>
      <c r="B64" s="229" t="n"/>
      <c r="C64" s="225" t="n"/>
      <c r="D64" s="225" t="n"/>
      <c r="E64" s="225" t="n"/>
      <c r="F64" s="225" t="n"/>
    </row>
    <row r="65" ht="30" customHeight="1">
      <c r="A65" s="225" t="n"/>
      <c r="B65" s="229" t="n"/>
      <c r="C65" s="225" t="n"/>
      <c r="D65" s="225" t="n"/>
      <c r="E65" s="225" t="n"/>
      <c r="F65" s="225" t="n"/>
    </row>
    <row r="66" ht="30" customHeight="1">
      <c r="A66" s="225" t="n"/>
      <c r="B66" s="229" t="n"/>
      <c r="C66" s="225" t="n"/>
      <c r="D66" s="225" t="n"/>
      <c r="E66" s="225" t="n"/>
      <c r="F66" s="225" t="n"/>
    </row>
    <row r="67" ht="30" customHeight="1">
      <c r="A67" s="225" t="n"/>
      <c r="B67" s="229" t="n"/>
      <c r="C67" s="225" t="n"/>
      <c r="D67" s="225" t="n"/>
      <c r="E67" s="225" t="n"/>
      <c r="F67" s="225" t="n"/>
    </row>
    <row r="68" ht="30" customHeight="1">
      <c r="A68" s="225" t="n"/>
      <c r="B68" s="229" t="n"/>
      <c r="C68" s="225" t="n"/>
      <c r="D68" s="225" t="n"/>
      <c r="E68" s="225" t="n"/>
      <c r="F68" s="225" t="n"/>
    </row>
    <row r="69" ht="30" customHeight="1">
      <c r="A69" s="225" t="n"/>
      <c r="B69" s="229" t="n"/>
      <c r="C69" s="225" t="n"/>
      <c r="D69" s="225" t="n"/>
      <c r="E69" s="225" t="n"/>
      <c r="F69" s="225" t="n"/>
    </row>
    <row r="70" ht="30" customHeight="1">
      <c r="A70" s="225" t="n"/>
      <c r="B70" s="229" t="n"/>
      <c r="C70" s="225" t="n"/>
      <c r="D70" s="225" t="n"/>
      <c r="E70" s="225" t="n"/>
      <c r="F70" s="225" t="n"/>
    </row>
    <row r="71" ht="30" customHeight="1">
      <c r="A71" s="225" t="n"/>
      <c r="B71" s="229" t="n"/>
      <c r="C71" s="225" t="n"/>
      <c r="D71" s="225" t="n"/>
      <c r="E71" s="225" t="n"/>
      <c r="F71" s="225" t="n"/>
    </row>
    <row r="72" ht="30" customHeight="1">
      <c r="A72" s="225" t="n"/>
      <c r="B72" s="229" t="n"/>
      <c r="C72" s="225" t="n"/>
      <c r="D72" s="225" t="n"/>
      <c r="E72" s="225" t="n"/>
      <c r="F72" s="225" t="n"/>
    </row>
    <row r="73" ht="30" customHeight="1">
      <c r="A73" s="225" t="n"/>
      <c r="B73" s="229" t="n"/>
      <c r="C73" s="225" t="n"/>
      <c r="D73" s="225" t="n"/>
      <c r="E73" s="225" t="n"/>
      <c r="F73" s="225" t="n"/>
    </row>
    <row r="74" ht="30" customHeight="1">
      <c r="A74" s="225" t="n"/>
      <c r="B74" s="229" t="n"/>
      <c r="C74" s="225" t="n"/>
      <c r="D74" s="225" t="n"/>
      <c r="E74" s="225" t="n"/>
      <c r="F74" s="225" t="n"/>
    </row>
    <row r="75" ht="30" customHeight="1">
      <c r="A75" s="225" t="n"/>
      <c r="B75" s="229" t="n"/>
      <c r="C75" s="225" t="n"/>
      <c r="D75" s="225" t="n"/>
      <c r="E75" s="225" t="n"/>
      <c r="F75" s="225" t="n"/>
    </row>
    <row r="76" ht="30" customHeight="1">
      <c r="A76" s="225" t="n"/>
      <c r="B76" s="229" t="n"/>
      <c r="C76" s="225" t="n"/>
      <c r="D76" s="225" t="n"/>
      <c r="E76" s="225" t="n"/>
      <c r="F76" s="225" t="n"/>
    </row>
    <row r="77" ht="30" customHeight="1">
      <c r="A77" s="225" t="n"/>
      <c r="B77" s="229" t="n"/>
      <c r="C77" s="225" t="n"/>
      <c r="D77" s="225" t="n"/>
      <c r="E77" s="225" t="n"/>
      <c r="F77" s="225" t="n"/>
    </row>
    <row r="78" ht="30" customHeight="1">
      <c r="A78" s="225" t="n"/>
      <c r="B78" s="229" t="n"/>
      <c r="C78" s="225" t="n"/>
      <c r="D78" s="225" t="n"/>
      <c r="E78" s="225" t="n"/>
      <c r="F78" s="225" t="n"/>
    </row>
    <row r="79" ht="30" customHeight="1">
      <c r="A79" s="225" t="n"/>
      <c r="B79" s="229" t="n"/>
      <c r="C79" s="225" t="n"/>
      <c r="D79" s="225" t="n"/>
      <c r="E79" s="225" t="n"/>
      <c r="F79" s="225" t="n"/>
    </row>
    <row r="80" ht="30" customHeight="1">
      <c r="A80" s="225" t="n"/>
      <c r="B80" s="229" t="n"/>
      <c r="C80" s="225" t="n"/>
      <c r="D80" s="225" t="n"/>
      <c r="E80" s="225" t="n"/>
      <c r="F80" s="225" t="n"/>
    </row>
    <row r="81" ht="30" customHeight="1">
      <c r="A81" s="225" t="n"/>
      <c r="B81" s="229" t="n"/>
      <c r="C81" s="225" t="n"/>
      <c r="D81" s="225" t="n"/>
      <c r="E81" s="225" t="n"/>
      <c r="F81" s="225" t="n"/>
    </row>
    <row r="82" ht="30" customHeight="1">
      <c r="A82" s="225" t="n"/>
      <c r="B82" s="229" t="n"/>
      <c r="C82" s="225" t="n"/>
      <c r="D82" s="225" t="n"/>
      <c r="E82" s="225" t="n"/>
      <c r="F82" s="225" t="n"/>
    </row>
    <row r="83" ht="30" customHeight="1">
      <c r="A83" s="225" t="n"/>
      <c r="B83" s="229" t="n"/>
      <c r="C83" s="225" t="n"/>
      <c r="D83" s="225" t="n"/>
      <c r="E83" s="225" t="n"/>
      <c r="F83" s="225" t="n"/>
    </row>
    <row r="84" ht="30" customHeight="1">
      <c r="A84" s="225" t="n"/>
      <c r="B84" s="229" t="n"/>
      <c r="C84" s="225" t="n"/>
      <c r="D84" s="225" t="n"/>
      <c r="E84" s="225" t="n"/>
      <c r="F84" s="225" t="n"/>
    </row>
    <row r="85" ht="30" customHeight="1">
      <c r="A85" s="225" t="n"/>
      <c r="B85" s="229" t="n"/>
      <c r="C85" s="225" t="n"/>
      <c r="D85" s="225" t="n"/>
      <c r="E85" s="225" t="n"/>
      <c r="F85" s="225" t="n"/>
    </row>
    <row r="86" ht="30" customHeight="1">
      <c r="A86" s="225" t="n"/>
      <c r="B86" s="229" t="n"/>
      <c r="C86" s="225" t="n"/>
      <c r="D86" s="225" t="n"/>
      <c r="E86" s="225" t="n"/>
      <c r="F86" s="225" t="n"/>
    </row>
    <row r="87" ht="30" customHeight="1">
      <c r="A87" s="225" t="n"/>
      <c r="B87" s="229" t="n"/>
      <c r="C87" s="225" t="n"/>
      <c r="D87" s="225" t="n"/>
      <c r="E87" s="225" t="n"/>
      <c r="F87" s="225" t="n"/>
    </row>
    <row r="88" ht="30" customHeight="1">
      <c r="A88" s="225" t="n"/>
      <c r="B88" s="229" t="n"/>
      <c r="C88" s="225" t="n"/>
      <c r="D88" s="225" t="n"/>
      <c r="E88" s="225" t="n"/>
      <c r="F88" s="225" t="n"/>
    </row>
    <row r="89" ht="30" customHeight="1">
      <c r="A89" s="225" t="n"/>
      <c r="B89" s="229" t="n"/>
      <c r="C89" s="225" t="n"/>
      <c r="D89" s="225" t="n"/>
      <c r="E89" s="225" t="n"/>
      <c r="F89" s="225" t="n"/>
    </row>
    <row r="90" ht="30" customHeight="1">
      <c r="A90" s="225" t="n"/>
      <c r="B90" s="229" t="n"/>
      <c r="C90" s="225" t="n"/>
      <c r="D90" s="225" t="n"/>
      <c r="E90" s="225" t="n"/>
      <c r="F90" s="225" t="n"/>
    </row>
    <row r="91" ht="30" customHeight="1">
      <c r="A91" s="225" t="n"/>
      <c r="B91" s="229" t="n"/>
      <c r="C91" s="225" t="n"/>
      <c r="D91" s="225" t="n"/>
      <c r="E91" s="225" t="n"/>
      <c r="F91" s="225" t="n"/>
    </row>
    <row r="92" ht="30" customHeight="1">
      <c r="A92" s="225" t="n"/>
      <c r="B92" s="229" t="n"/>
      <c r="C92" s="225" t="n"/>
      <c r="D92" s="225" t="n"/>
      <c r="E92" s="225" t="n"/>
      <c r="F92" s="225" t="n"/>
    </row>
    <row r="93" ht="30" customHeight="1">
      <c r="A93" s="225" t="n"/>
      <c r="B93" s="229" t="n"/>
      <c r="C93" s="225" t="n"/>
      <c r="D93" s="225" t="n"/>
      <c r="E93" s="225" t="n"/>
      <c r="F93" s="225" t="n"/>
    </row>
    <row r="94" ht="30" customHeight="1">
      <c r="A94" s="225" t="n"/>
      <c r="B94" s="229" t="n"/>
      <c r="C94" s="225" t="n"/>
      <c r="D94" s="225" t="n"/>
      <c r="E94" s="225" t="n"/>
      <c r="F94" s="225" t="n"/>
    </row>
    <row r="95" ht="30" customHeight="1">
      <c r="A95" s="225" t="n"/>
      <c r="B95" s="229" t="n"/>
      <c r="C95" s="225" t="n"/>
      <c r="D95" s="225" t="n"/>
      <c r="E95" s="225" t="n"/>
      <c r="F95" s="225" t="n"/>
    </row>
    <row r="96" ht="30" customHeight="1">
      <c r="A96" s="225" t="n"/>
      <c r="B96" s="229" t="n"/>
      <c r="C96" s="225" t="n"/>
      <c r="D96" s="225" t="n"/>
      <c r="E96" s="225" t="n"/>
      <c r="F96" s="225" t="n"/>
    </row>
    <row r="97" ht="30" customHeight="1">
      <c r="A97" s="225" t="n"/>
      <c r="B97" s="229" t="n"/>
      <c r="C97" s="225" t="n"/>
      <c r="D97" s="225" t="n"/>
      <c r="E97" s="225" t="n"/>
      <c r="F97" s="225" t="n"/>
    </row>
    <row r="98" ht="30" customHeight="1">
      <c r="A98" s="225" t="n"/>
      <c r="B98" s="229" t="n"/>
      <c r="C98" s="225" t="n"/>
      <c r="D98" s="225" t="n"/>
      <c r="E98" s="225" t="n"/>
      <c r="F98" s="225" t="n"/>
    </row>
    <row r="99" ht="30" customHeight="1">
      <c r="A99" s="225" t="n"/>
      <c r="B99" s="229" t="n"/>
      <c r="C99" s="225" t="n"/>
      <c r="D99" s="225" t="n"/>
      <c r="E99" s="225" t="n"/>
      <c r="F99" s="225" t="n"/>
    </row>
    <row r="100" ht="30" customHeight="1">
      <c r="A100" s="225" t="n"/>
      <c r="B100" s="229" t="n"/>
      <c r="C100" s="225" t="n"/>
      <c r="D100" s="225" t="n"/>
      <c r="E100" s="225" t="n"/>
      <c r="F100" s="225" t="n"/>
    </row>
    <row r="101" ht="30" customHeight="1">
      <c r="A101" s="225" t="n"/>
      <c r="B101" s="229" t="n"/>
      <c r="C101" s="225" t="n"/>
      <c r="D101" s="225" t="n"/>
      <c r="E101" s="225" t="n"/>
      <c r="F101" s="225" t="n"/>
    </row>
    <row r="102" ht="30" customHeight="1">
      <c r="A102" s="225" t="n"/>
      <c r="B102" s="229" t="n"/>
      <c r="C102" s="225" t="n"/>
      <c r="D102" s="225" t="n"/>
      <c r="E102" s="225" t="n"/>
      <c r="F102" s="225" t="n"/>
    </row>
    <row r="103" ht="30" customHeight="1">
      <c r="A103" s="225" t="n"/>
      <c r="B103" s="229" t="n"/>
      <c r="C103" s="225" t="n"/>
      <c r="D103" s="225" t="n"/>
      <c r="E103" s="225" t="n"/>
      <c r="F103" s="225" t="n"/>
    </row>
    <row r="104" ht="30" customHeight="1">
      <c r="A104" s="225" t="n"/>
      <c r="B104" s="229" t="n"/>
      <c r="C104" s="225" t="n"/>
      <c r="D104" s="225" t="n"/>
      <c r="E104" s="225" t="n"/>
      <c r="F104" s="225" t="n"/>
    </row>
    <row r="105" ht="30" customHeight="1">
      <c r="A105" s="225" t="n"/>
      <c r="B105" s="229" t="n"/>
      <c r="C105" s="225" t="n"/>
      <c r="D105" s="225" t="n"/>
      <c r="E105" s="225" t="n"/>
      <c r="F105" s="225" t="n"/>
    </row>
    <row r="106" ht="30" customHeight="1">
      <c r="A106" s="225" t="n"/>
      <c r="B106" s="229" t="n"/>
      <c r="C106" s="225" t="n"/>
      <c r="D106" s="225" t="n"/>
      <c r="E106" s="225" t="n"/>
      <c r="F106" s="225" t="n"/>
    </row>
    <row r="107" ht="30" customHeight="1">
      <c r="A107" s="225" t="n"/>
      <c r="B107" s="229" t="n"/>
      <c r="C107" s="225" t="n"/>
      <c r="D107" s="225" t="n"/>
      <c r="E107" s="225" t="n"/>
      <c r="F107" s="225" t="n"/>
    </row>
    <row r="108" ht="30" customHeight="1">
      <c r="A108" s="225" t="n"/>
      <c r="B108" s="229" t="n"/>
      <c r="C108" s="225" t="n"/>
      <c r="D108" s="225" t="n"/>
      <c r="E108" s="225" t="n"/>
      <c r="F108" s="225" t="n"/>
    </row>
    <row r="109" ht="30" customHeight="1">
      <c r="A109" s="225" t="n"/>
      <c r="B109" s="229" t="n"/>
      <c r="C109" s="225" t="n"/>
      <c r="D109" s="225" t="n"/>
      <c r="E109" s="225" t="n"/>
      <c r="F109" s="225" t="n"/>
    </row>
    <row r="110" ht="30" customHeight="1">
      <c r="A110" s="225" t="n"/>
      <c r="B110" s="229" t="n"/>
      <c r="C110" s="225" t="n"/>
      <c r="D110" s="225" t="n"/>
      <c r="E110" s="225" t="n"/>
      <c r="F110" s="225" t="n"/>
    </row>
    <row r="111" ht="30" customHeight="1">
      <c r="A111" s="225" t="n"/>
      <c r="B111" s="229" t="n"/>
      <c r="C111" s="225" t="n"/>
      <c r="D111" s="225" t="n"/>
      <c r="E111" s="225" t="n"/>
      <c r="F111" s="225" t="n"/>
    </row>
    <row r="112" ht="30" customHeight="1">
      <c r="A112" s="225" t="n"/>
      <c r="B112" s="229" t="n"/>
      <c r="C112" s="225" t="n"/>
      <c r="D112" s="225" t="n"/>
      <c r="E112" s="225" t="n"/>
      <c r="F112" s="225" t="n"/>
    </row>
    <row r="113" ht="30" customHeight="1">
      <c r="A113" s="225" t="n"/>
      <c r="B113" s="229" t="n"/>
      <c r="C113" s="225" t="n"/>
      <c r="D113" s="225" t="n"/>
      <c r="E113" s="225" t="n"/>
      <c r="F113" s="225" t="n"/>
    </row>
    <row r="114" ht="30" customHeight="1">
      <c r="A114" s="225" t="n"/>
      <c r="B114" s="229" t="n"/>
      <c r="C114" s="225" t="n"/>
      <c r="D114" s="225" t="n"/>
      <c r="E114" s="225" t="n"/>
      <c r="F114" s="225" t="n"/>
    </row>
    <row r="115" ht="30" customHeight="1">
      <c r="A115" s="225" t="n"/>
      <c r="B115" s="229" t="n"/>
      <c r="C115" s="225" t="n"/>
      <c r="D115" s="225" t="n"/>
      <c r="E115" s="225" t="n"/>
      <c r="F115" s="225" t="n"/>
    </row>
    <row r="116" ht="30" customHeight="1">
      <c r="A116" s="225" t="n"/>
      <c r="B116" s="229" t="n"/>
      <c r="C116" s="225" t="n"/>
      <c r="D116" s="225" t="n"/>
      <c r="E116" s="225" t="n"/>
      <c r="F116" s="225" t="n"/>
    </row>
    <row r="117" ht="30" customHeight="1">
      <c r="A117" s="225" t="n"/>
      <c r="B117" s="229" t="n"/>
      <c r="C117" s="225" t="n"/>
      <c r="D117" s="225" t="n"/>
      <c r="E117" s="225" t="n"/>
      <c r="F117" s="225" t="n"/>
    </row>
    <row r="118" ht="30" customHeight="1">
      <c r="A118" s="225" t="n"/>
      <c r="B118" s="229" t="n"/>
      <c r="C118" s="225" t="n"/>
      <c r="D118" s="225" t="n"/>
      <c r="E118" s="225" t="n"/>
      <c r="F118" s="225" t="n"/>
    </row>
    <row r="119" ht="30" customHeight="1">
      <c r="A119" s="225" t="n"/>
      <c r="B119" s="229" t="n"/>
      <c r="C119" s="225" t="n"/>
      <c r="D119" s="225" t="n"/>
      <c r="E119" s="225" t="n"/>
      <c r="F119" s="225" t="n"/>
    </row>
    <row r="120">
      <c r="A120" s="230" t="n"/>
      <c r="B120" s="230" t="n"/>
      <c r="C120" s="230" t="n"/>
      <c r="D120" s="230" t="n"/>
      <c r="E120" s="230" t="n"/>
      <c r="F120" s="230" t="n"/>
    </row>
    <row r="121">
      <c r="A121" s="230" t="n"/>
      <c r="B121" s="230" t="n"/>
      <c r="C121" s="230" t="n"/>
      <c r="D121" s="230" t="n"/>
      <c r="E121" s="230" t="n"/>
      <c r="F121" s="230" t="n"/>
    </row>
    <row r="122">
      <c r="A122" s="230" t="n"/>
      <c r="B122" s="230" t="n"/>
      <c r="C122" s="230" t="n"/>
      <c r="D122" s="230" t="n"/>
      <c r="E122" s="230" t="n"/>
      <c r="F122" s="230" t="n"/>
    </row>
    <row r="123">
      <c r="A123" s="230" t="n"/>
      <c r="B123" s="230" t="n"/>
      <c r="C123" s="230" t="n"/>
      <c r="D123" s="230" t="n"/>
      <c r="E123" s="230" t="n"/>
      <c r="F123" s="230" t="n"/>
    </row>
    <row r="124">
      <c r="A124" s="230" t="n"/>
      <c r="B124" s="230" t="n"/>
      <c r="C124" s="230" t="n"/>
      <c r="D124" s="230" t="n"/>
      <c r="E124" s="230" t="n"/>
      <c r="F124" s="230" t="n"/>
    </row>
    <row r="125">
      <c r="A125" s="230" t="n"/>
      <c r="B125" s="230" t="n"/>
      <c r="C125" s="230" t="n"/>
      <c r="D125" s="230" t="n"/>
      <c r="E125" s="230" t="n"/>
      <c r="F125" s="230" t="n"/>
    </row>
    <row r="126">
      <c r="A126" s="230" t="n"/>
      <c r="B126" s="230" t="n"/>
      <c r="C126" s="230" t="n"/>
      <c r="D126" s="230" t="n"/>
      <c r="E126" s="230" t="n"/>
      <c r="F126" s="230" t="n"/>
    </row>
    <row r="127">
      <c r="A127" s="230" t="n"/>
      <c r="B127" s="230" t="n"/>
      <c r="C127" s="230" t="n"/>
      <c r="D127" s="230" t="n"/>
      <c r="E127" s="230" t="n"/>
      <c r="F127" s="230" t="n"/>
    </row>
    <row r="128">
      <c r="A128" s="230" t="n"/>
      <c r="B128" s="230" t="n"/>
      <c r="C128" s="230" t="n"/>
      <c r="D128" s="230" t="n"/>
      <c r="E128" s="230" t="n"/>
      <c r="F128" s="230" t="n"/>
    </row>
    <row r="129">
      <c r="A129" s="230" t="n"/>
      <c r="B129" s="230" t="n"/>
      <c r="C129" s="230" t="n"/>
      <c r="D129" s="230" t="n"/>
      <c r="E129" s="230" t="n"/>
      <c r="F129" s="230" t="n"/>
    </row>
    <row r="130">
      <c r="A130" s="230" t="n"/>
      <c r="B130" s="230" t="n"/>
      <c r="C130" s="230" t="n"/>
      <c r="D130" s="230" t="n"/>
      <c r="E130" s="230" t="n"/>
      <c r="F130" s="230" t="n"/>
    </row>
    <row r="131">
      <c r="A131" s="230" t="n"/>
      <c r="B131" s="230" t="n"/>
      <c r="C131" s="230" t="n"/>
      <c r="D131" s="230" t="n"/>
      <c r="E131" s="230" t="n"/>
      <c r="F131" s="230" t="n"/>
    </row>
    <row r="132">
      <c r="A132" s="230" t="n"/>
      <c r="B132" s="230" t="n"/>
      <c r="C132" s="230" t="n"/>
      <c r="D132" s="230" t="n"/>
      <c r="E132" s="230" t="n"/>
      <c r="F132" s="230" t="n"/>
    </row>
    <row r="133">
      <c r="A133" s="230" t="n"/>
      <c r="B133" s="230" t="n"/>
      <c r="C133" s="230" t="n"/>
      <c r="D133" s="230" t="n"/>
      <c r="E133" s="230" t="n"/>
      <c r="F133" s="230" t="n"/>
    </row>
    <row r="134">
      <c r="A134" s="230" t="n"/>
      <c r="B134" s="230" t="n"/>
      <c r="C134" s="230" t="n"/>
      <c r="D134" s="230" t="n"/>
      <c r="E134" s="230" t="n"/>
      <c r="F134" s="230" t="n"/>
    </row>
    <row r="135">
      <c r="A135" s="230" t="n"/>
      <c r="B135" s="230" t="n"/>
      <c r="C135" s="230" t="n"/>
      <c r="D135" s="230" t="n"/>
      <c r="E135" s="230" t="n"/>
      <c r="F135" s="230" t="n"/>
    </row>
    <row r="136">
      <c r="A136" s="230" t="n"/>
      <c r="B136" s="230" t="n"/>
      <c r="C136" s="230" t="n"/>
      <c r="D136" s="230" t="n"/>
      <c r="E136" s="230" t="n"/>
      <c r="F136" s="230" t="n"/>
    </row>
    <row r="137">
      <c r="A137" s="230" t="n"/>
      <c r="B137" s="230" t="n"/>
      <c r="C137" s="230" t="n"/>
      <c r="D137" s="230" t="n"/>
      <c r="E137" s="230" t="n"/>
      <c r="F137" s="230" t="n"/>
    </row>
    <row r="138">
      <c r="A138" s="230" t="n"/>
      <c r="B138" s="230" t="n"/>
      <c r="C138" s="230" t="n"/>
      <c r="D138" s="230" t="n"/>
      <c r="E138" s="230" t="n"/>
      <c r="F138" s="230" t="n"/>
    </row>
    <row r="139">
      <c r="A139" s="230" t="n"/>
      <c r="B139" s="230" t="n"/>
      <c r="C139" s="230" t="n"/>
      <c r="D139" s="230" t="n"/>
      <c r="E139" s="230" t="n"/>
      <c r="F139" s="230" t="n"/>
    </row>
    <row r="140">
      <c r="A140" s="230" t="n"/>
      <c r="B140" s="230" t="n"/>
      <c r="C140" s="230" t="n"/>
      <c r="D140" s="230" t="n"/>
      <c r="E140" s="230" t="n"/>
      <c r="F140" s="230" t="n"/>
    </row>
    <row r="141">
      <c r="A141" s="230" t="n"/>
      <c r="B141" s="230" t="n"/>
      <c r="C141" s="230" t="n"/>
      <c r="D141" s="230" t="n"/>
      <c r="E141" s="230" t="n"/>
      <c r="F141" s="230" t="n"/>
    </row>
    <row r="142">
      <c r="A142" s="230" t="n"/>
      <c r="B142" s="230" t="n"/>
      <c r="C142" s="230" t="n"/>
      <c r="D142" s="230" t="n"/>
      <c r="E142" s="230" t="n"/>
      <c r="F142" s="230" t="n"/>
    </row>
    <row r="143">
      <c r="A143" s="230" t="n"/>
      <c r="B143" s="230" t="n"/>
      <c r="C143" s="230" t="n"/>
      <c r="D143" s="230" t="n"/>
      <c r="E143" s="230" t="n"/>
      <c r="F143" s="230" t="n"/>
    </row>
    <row r="144">
      <c r="A144" s="230" t="n"/>
      <c r="B144" s="230" t="n"/>
      <c r="C144" s="230" t="n"/>
      <c r="D144" s="230" t="n"/>
      <c r="E144" s="230" t="n"/>
      <c r="F144" s="230" t="n"/>
    </row>
    <row r="145">
      <c r="A145" s="230" t="n"/>
      <c r="B145" s="230" t="n"/>
      <c r="C145" s="230" t="n"/>
      <c r="D145" s="230" t="n"/>
      <c r="E145" s="230" t="n"/>
      <c r="F145" s="230" t="n"/>
    </row>
    <row r="146">
      <c r="A146" s="230" t="n"/>
      <c r="B146" s="230" t="n"/>
      <c r="C146" s="230" t="n"/>
      <c r="D146" s="230" t="n"/>
      <c r="E146" s="230" t="n"/>
      <c r="F146" s="230" t="n"/>
    </row>
    <row r="147">
      <c r="A147" s="230" t="n"/>
      <c r="B147" s="230" t="n"/>
      <c r="C147" s="230" t="n"/>
      <c r="D147" s="230" t="n"/>
      <c r="E147" s="230" t="n"/>
      <c r="F147" s="230" t="n"/>
    </row>
    <row r="148">
      <c r="A148" s="230" t="n"/>
      <c r="B148" s="230" t="n"/>
      <c r="C148" s="230" t="n"/>
      <c r="D148" s="230" t="n"/>
      <c r="E148" s="230" t="n"/>
      <c r="F148" s="230" t="n"/>
    </row>
    <row r="149">
      <c r="A149" s="230" t="n"/>
      <c r="B149" s="230" t="n"/>
      <c r="C149" s="230" t="n"/>
      <c r="D149" s="230" t="n"/>
      <c r="E149" s="230" t="n"/>
      <c r="F149" s="230" t="n"/>
    </row>
    <row r="150">
      <c r="A150" s="230" t="n"/>
      <c r="B150" s="230" t="n"/>
      <c r="C150" s="230" t="n"/>
      <c r="D150" s="230" t="n"/>
      <c r="E150" s="230" t="n"/>
      <c r="F150" s="230" t="n"/>
    </row>
    <row r="151">
      <c r="A151" s="230" t="n"/>
      <c r="B151" s="230" t="n"/>
      <c r="C151" s="230" t="n"/>
      <c r="D151" s="230" t="n"/>
      <c r="E151" s="230" t="n"/>
      <c r="F151" s="230" t="n"/>
    </row>
    <row r="152">
      <c r="A152" s="230" t="n"/>
      <c r="B152" s="230" t="n"/>
      <c r="C152" s="230" t="n"/>
      <c r="D152" s="230" t="n"/>
      <c r="E152" s="230" t="n"/>
      <c r="F152" s="230" t="n"/>
    </row>
    <row r="153">
      <c r="A153" s="230" t="n"/>
      <c r="B153" s="230" t="n"/>
      <c r="C153" s="230" t="n"/>
      <c r="D153" s="230" t="n"/>
      <c r="E153" s="230" t="n"/>
      <c r="F153" s="230" t="n"/>
    </row>
    <row r="154">
      <c r="A154" s="230" t="n"/>
      <c r="B154" s="230" t="n"/>
      <c r="C154" s="230" t="n"/>
      <c r="D154" s="230" t="n"/>
      <c r="E154" s="230" t="n"/>
      <c r="F154" s="230" t="n"/>
    </row>
    <row r="155">
      <c r="A155" s="230" t="n"/>
      <c r="B155" s="230" t="n"/>
      <c r="C155" s="230" t="n"/>
      <c r="D155" s="230" t="n"/>
      <c r="E155" s="230" t="n"/>
      <c r="F155" s="230" t="n"/>
    </row>
    <row r="156">
      <c r="A156" s="230" t="n"/>
      <c r="B156" s="230" t="n"/>
      <c r="C156" s="230" t="n"/>
      <c r="D156" s="230" t="n"/>
      <c r="E156" s="230" t="n"/>
      <c r="F156" s="230" t="n"/>
    </row>
    <row r="157">
      <c r="A157" s="230" t="n"/>
      <c r="B157" s="230" t="n"/>
      <c r="C157" s="230" t="n"/>
      <c r="D157" s="230" t="n"/>
      <c r="E157" s="230" t="n"/>
      <c r="F157" s="230" t="n"/>
    </row>
    <row r="158">
      <c r="A158" s="230" t="n"/>
      <c r="B158" s="230" t="n"/>
      <c r="C158" s="230" t="n"/>
      <c r="D158" s="230" t="n"/>
      <c r="E158" s="230" t="n"/>
      <c r="F158" s="230" t="n"/>
    </row>
    <row r="159">
      <c r="A159" s="230" t="n"/>
      <c r="B159" s="230" t="n"/>
      <c r="C159" s="230" t="n"/>
      <c r="D159" s="230" t="n"/>
      <c r="E159" s="230" t="n"/>
      <c r="F159" s="230" t="n"/>
    </row>
    <row r="160">
      <c r="A160" s="230" t="n"/>
      <c r="B160" s="230" t="n"/>
      <c r="C160" s="230" t="n"/>
      <c r="D160" s="230" t="n"/>
      <c r="E160" s="230" t="n"/>
      <c r="F160" s="230" t="n"/>
    </row>
    <row r="161">
      <c r="A161" s="230" t="n"/>
      <c r="B161" s="230" t="n"/>
      <c r="C161" s="230" t="n"/>
      <c r="D161" s="230" t="n"/>
      <c r="E161" s="230" t="n"/>
      <c r="F161" s="230" t="n"/>
    </row>
    <row r="162">
      <c r="A162" s="230" t="n"/>
      <c r="B162" s="230" t="n"/>
      <c r="C162" s="230" t="n"/>
      <c r="D162" s="230" t="n"/>
      <c r="E162" s="230" t="n"/>
      <c r="F162" s="230" t="n"/>
    </row>
    <row r="163">
      <c r="A163" s="230" t="n"/>
      <c r="B163" s="230" t="n"/>
      <c r="C163" s="230" t="n"/>
      <c r="D163" s="230" t="n"/>
      <c r="E163" s="230" t="n"/>
      <c r="F163" s="230" t="n"/>
    </row>
    <row r="164">
      <c r="A164" s="230" t="n"/>
      <c r="B164" s="230" t="n"/>
      <c r="C164" s="230" t="n"/>
      <c r="D164" s="230" t="n"/>
      <c r="E164" s="230" t="n"/>
      <c r="F164" s="230" t="n"/>
    </row>
    <row r="165">
      <c r="A165" s="230" t="n"/>
      <c r="B165" s="230" t="n"/>
      <c r="C165" s="230" t="n"/>
      <c r="D165" s="230" t="n"/>
      <c r="E165" s="230" t="n"/>
      <c r="F165" s="230" t="n"/>
    </row>
    <row r="166">
      <c r="A166" s="230" t="n"/>
      <c r="B166" s="230" t="n"/>
      <c r="C166" s="230" t="n"/>
      <c r="D166" s="230" t="n"/>
      <c r="E166" s="230" t="n"/>
      <c r="F166" s="230" t="n"/>
    </row>
    <row r="167">
      <c r="A167" s="230" t="n"/>
      <c r="B167" s="230" t="n"/>
      <c r="C167" s="230" t="n"/>
      <c r="D167" s="230" t="n"/>
      <c r="E167" s="230" t="n"/>
      <c r="F167" s="230" t="n"/>
    </row>
    <row r="168">
      <c r="A168" s="230" t="n"/>
      <c r="B168" s="230" t="n"/>
      <c r="C168" s="230" t="n"/>
      <c r="D168" s="230" t="n"/>
      <c r="E168" s="230" t="n"/>
      <c r="F168" s="230" t="n"/>
    </row>
    <row r="169">
      <c r="A169" s="230" t="n"/>
      <c r="B169" s="230" t="n"/>
      <c r="C169" s="230" t="n"/>
      <c r="D169" s="230" t="n"/>
      <c r="E169" s="230" t="n"/>
      <c r="F169" s="230" t="n"/>
    </row>
    <row r="170">
      <c r="A170" s="230" t="n"/>
      <c r="B170" s="230" t="n"/>
      <c r="C170" s="230" t="n"/>
      <c r="D170" s="230" t="n"/>
      <c r="E170" s="230" t="n"/>
      <c r="F170" s="230" t="n"/>
    </row>
    <row r="171">
      <c r="A171" s="230" t="n"/>
      <c r="B171" s="230" t="n"/>
      <c r="C171" s="230" t="n"/>
      <c r="D171" s="230" t="n"/>
      <c r="E171" s="230" t="n"/>
      <c r="F171" s="230" t="n"/>
    </row>
    <row r="172">
      <c r="A172" s="230" t="n"/>
      <c r="B172" s="230" t="n"/>
      <c r="C172" s="230" t="n"/>
      <c r="D172" s="230" t="n"/>
      <c r="E172" s="230" t="n"/>
      <c r="F172" s="230" t="n"/>
    </row>
    <row r="173">
      <c r="A173" s="230" t="n"/>
      <c r="B173" s="230" t="n"/>
      <c r="C173" s="230" t="n"/>
      <c r="D173" s="230" t="n"/>
      <c r="E173" s="230" t="n"/>
      <c r="F173" s="230" t="n"/>
    </row>
    <row r="174">
      <c r="A174" s="230" t="n"/>
      <c r="B174" s="230" t="n"/>
      <c r="C174" s="230" t="n"/>
      <c r="D174" s="230" t="n"/>
      <c r="E174" s="230" t="n"/>
      <c r="F174" s="230" t="n"/>
    </row>
    <row r="175">
      <c r="A175" s="230" t="n"/>
      <c r="B175" s="230" t="n"/>
      <c r="C175" s="230" t="n"/>
      <c r="D175" s="230" t="n"/>
      <c r="E175" s="230" t="n"/>
      <c r="F175" s="230" t="n"/>
    </row>
    <row r="176">
      <c r="A176" s="230" t="n"/>
      <c r="B176" s="230" t="n"/>
      <c r="C176" s="230" t="n"/>
      <c r="D176" s="230" t="n"/>
      <c r="E176" s="230" t="n"/>
      <c r="F176" s="230" t="n"/>
    </row>
    <row r="177">
      <c r="A177" s="230" t="n"/>
      <c r="B177" s="230" t="n"/>
      <c r="C177" s="230" t="n"/>
      <c r="D177" s="230" t="n"/>
      <c r="E177" s="230" t="n"/>
      <c r="F177" s="230" t="n"/>
    </row>
    <row r="178">
      <c r="A178" s="230" t="n"/>
      <c r="B178" s="230" t="n"/>
      <c r="C178" s="230" t="n"/>
      <c r="D178" s="230" t="n"/>
      <c r="E178" s="230" t="n"/>
      <c r="F178" s="230" t="n"/>
    </row>
    <row r="179">
      <c r="A179" s="230" t="n"/>
      <c r="B179" s="230" t="n"/>
      <c r="C179" s="230" t="n"/>
      <c r="D179" s="230" t="n"/>
      <c r="E179" s="230" t="n"/>
      <c r="F179" s="230" t="n"/>
    </row>
    <row r="180">
      <c r="A180" s="230" t="n"/>
      <c r="B180" s="230" t="n"/>
      <c r="C180" s="230" t="n"/>
      <c r="D180" s="230" t="n"/>
      <c r="E180" s="230" t="n"/>
      <c r="F180" s="230" t="n"/>
    </row>
    <row r="181">
      <c r="A181" s="230" t="n"/>
      <c r="B181" s="230" t="n"/>
      <c r="C181" s="230" t="n"/>
      <c r="D181" s="230" t="n"/>
      <c r="E181" s="230" t="n"/>
      <c r="F181" s="230" t="n"/>
    </row>
    <row r="182">
      <c r="A182" s="230" t="n"/>
      <c r="B182" s="230" t="n"/>
      <c r="C182" s="230" t="n"/>
      <c r="D182" s="230" t="n"/>
      <c r="E182" s="230" t="n"/>
      <c r="F182" s="230" t="n"/>
    </row>
    <row r="183">
      <c r="A183" s="230" t="n"/>
      <c r="B183" s="230" t="n"/>
      <c r="C183" s="230" t="n"/>
      <c r="D183" s="230" t="n"/>
      <c r="E183" s="230" t="n"/>
      <c r="F183" s="230" t="n"/>
    </row>
    <row r="184">
      <c r="A184" s="230" t="n"/>
      <c r="B184" s="230" t="n"/>
      <c r="C184" s="230" t="n"/>
      <c r="D184" s="230" t="n"/>
      <c r="E184" s="230" t="n"/>
      <c r="F184" s="230" t="n"/>
    </row>
    <row r="185">
      <c r="A185" s="230" t="n"/>
      <c r="B185" s="230" t="n"/>
      <c r="C185" s="230" t="n"/>
      <c r="D185" s="230" t="n"/>
      <c r="E185" s="230" t="n"/>
      <c r="F185" s="230" t="n"/>
    </row>
    <row r="186">
      <c r="A186" s="230" t="n"/>
      <c r="B186" s="230" t="n"/>
      <c r="C186" s="230" t="n"/>
      <c r="D186" s="230" t="n"/>
      <c r="E186" s="230" t="n"/>
      <c r="F186" s="230" t="n"/>
    </row>
    <row r="187">
      <c r="A187" s="230" t="n"/>
      <c r="B187" s="230" t="n"/>
      <c r="C187" s="230" t="n"/>
      <c r="D187" s="230" t="n"/>
      <c r="E187" s="230" t="n"/>
      <c r="F187" s="230" t="n"/>
    </row>
    <row r="188">
      <c r="A188" s="230" t="n"/>
      <c r="B188" s="230" t="n"/>
      <c r="C188" s="230" t="n"/>
      <c r="D188" s="230" t="n"/>
      <c r="E188" s="230" t="n"/>
      <c r="F188" s="230" t="n"/>
    </row>
    <row r="189">
      <c r="A189" s="230" t="n"/>
      <c r="B189" s="230" t="n"/>
      <c r="C189" s="230" t="n"/>
      <c r="D189" s="230" t="n"/>
      <c r="E189" s="230" t="n"/>
      <c r="F189" s="230" t="n"/>
    </row>
    <row r="190">
      <c r="A190" s="230" t="n"/>
      <c r="B190" s="230" t="n"/>
      <c r="C190" s="230" t="n"/>
      <c r="D190" s="230" t="n"/>
      <c r="E190" s="230" t="n"/>
      <c r="F190" s="230" t="n"/>
    </row>
    <row r="191">
      <c r="A191" s="230" t="n"/>
      <c r="B191" s="230" t="n"/>
      <c r="C191" s="230" t="n"/>
      <c r="D191" s="230" t="n"/>
      <c r="E191" s="230" t="n"/>
      <c r="F191" s="230" t="n"/>
    </row>
    <row r="192">
      <c r="A192" s="230" t="n"/>
      <c r="B192" s="230" t="n"/>
      <c r="C192" s="230" t="n"/>
      <c r="D192" s="230" t="n"/>
      <c r="E192" s="230" t="n"/>
      <c r="F192" s="230" t="n"/>
    </row>
    <row r="193">
      <c r="A193" s="230" t="n"/>
      <c r="B193" s="230" t="n"/>
      <c r="C193" s="230" t="n"/>
      <c r="D193" s="230" t="n"/>
      <c r="E193" s="230" t="n"/>
      <c r="F193" s="230" t="n"/>
    </row>
    <row r="194">
      <c r="A194" s="230" t="n"/>
      <c r="B194" s="230" t="n"/>
      <c r="C194" s="230" t="n"/>
      <c r="D194" s="230" t="n"/>
      <c r="E194" s="230" t="n"/>
      <c r="F194" s="230" t="n"/>
    </row>
    <row r="195">
      <c r="A195" s="230" t="n"/>
      <c r="B195" s="230" t="n"/>
      <c r="C195" s="230" t="n"/>
      <c r="D195" s="230" t="n"/>
      <c r="E195" s="230" t="n"/>
      <c r="F195" s="230" t="n"/>
    </row>
    <row r="196">
      <c r="A196" s="230" t="n"/>
      <c r="B196" s="230" t="n"/>
      <c r="C196" s="230" t="n"/>
      <c r="D196" s="230" t="n"/>
      <c r="E196" s="230" t="n"/>
      <c r="F196" s="230" t="n"/>
    </row>
    <row r="197">
      <c r="A197" s="230" t="n"/>
      <c r="B197" s="230" t="n"/>
      <c r="C197" s="230" t="n"/>
      <c r="D197" s="230" t="n"/>
      <c r="E197" s="230" t="n"/>
      <c r="F197" s="230" t="n"/>
    </row>
    <row r="198">
      <c r="A198" s="230" t="n"/>
      <c r="B198" s="230" t="n"/>
      <c r="C198" s="230" t="n"/>
      <c r="D198" s="230" t="n"/>
      <c r="E198" s="230" t="n"/>
      <c r="F198" s="230" t="n"/>
    </row>
    <row r="199">
      <c r="A199" s="230" t="n"/>
      <c r="B199" s="230" t="n"/>
      <c r="C199" s="230" t="n"/>
      <c r="D199" s="230" t="n"/>
      <c r="E199" s="230" t="n"/>
      <c r="F199" s="230" t="n"/>
    </row>
    <row r="200">
      <c r="A200" s="230" t="n"/>
      <c r="B200" s="230" t="n"/>
      <c r="C200" s="230" t="n"/>
      <c r="D200" s="230" t="n"/>
      <c r="E200" s="230" t="n"/>
      <c r="F2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1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2" t="inlineStr"/>
      <c r="G10" s="62" t="inlineStr"/>
      <c r="H10" s="62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2" t="inlineStr"/>
      <c r="G11" s="62" t="inlineStr"/>
      <c r="H11" s="62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2" t="inlineStr"/>
      <c r="G12" s="62" t="inlineStr"/>
      <c r="H12" s="62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2" t="inlineStr"/>
      <c r="G13" s="62" t="inlineStr"/>
      <c r="H13" s="62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2" t="inlineStr"/>
      <c r="G14" s="62" t="inlineStr"/>
      <c r="H14" s="62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3" t="n"/>
      <c r="C49" s="33" t="n"/>
      <c r="D49" s="33" t="n"/>
      <c r="E49" s="193" t="inlineStr">
        <is>
          <t xml:space="preserve">  督導官：__________________  簽章</t>
        </is>
      </c>
      <c r="F49" s="33" t="n"/>
      <c r="G49" s="33" t="n"/>
      <c r="H49" s="33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0" t="n"/>
      <c r="C5" s="230" t="n"/>
      <c r="D5" s="230" t="n"/>
      <c r="E5" s="230" t="n"/>
      <c r="F5" s="230" t="n"/>
      <c r="G5" s="230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3" t="inlineStr">
        <is>
          <t>項目</t>
        </is>
      </c>
      <c r="C7" s="233" t="inlineStr">
        <is>
          <t>新增方式</t>
        </is>
      </c>
      <c r="D7" s="233" t="inlineStr">
        <is>
          <t>上限</t>
        </is>
      </c>
      <c r="E7" s="233" t="inlineStr">
        <is>
          <t>停用/刪除</t>
        </is>
      </c>
      <c r="F7" s="233" t="inlineStr">
        <is>
          <t>連動影響</t>
        </is>
      </c>
      <c r="G7" s="234" t="inlineStr"/>
    </row>
    <row r="8" ht="30" customHeight="1">
      <c r="A8" s="12" t="inlineStr">
        <is>
          <t>B</t>
        </is>
      </c>
      <c r="B8" s="235" t="inlineStr">
        <is>
          <t>員警名冊</t>
        </is>
      </c>
      <c r="C8" s="227" t="inlineStr">
        <is>
          <t>下方空白列 key 入</t>
        </is>
      </c>
      <c r="D8" s="221" t="n"/>
      <c r="E8" s="236" t="inlineStr">
        <is>
          <t>60 名</t>
        </is>
      </c>
      <c r="F8" s="237" t="inlineStr">
        <is>
          <t>改「是否在職=否」</t>
        </is>
      </c>
      <c r="G8" s="238" t="inlineStr">
        <is>
          <t>下拉清單自動擴展</t>
        </is>
      </c>
    </row>
    <row r="9" ht="30" customHeight="1">
      <c r="A9" s="12" t="inlineStr">
        <is>
          <t>D</t>
        </is>
      </c>
      <c r="B9" s="235" t="inlineStr">
        <is>
          <t>案類分類</t>
        </is>
      </c>
      <c r="C9" s="227" t="inlineStr">
        <is>
          <t>下方空白列 key 入</t>
        </is>
      </c>
      <c r="D9" s="221" t="n"/>
      <c r="E9" s="236" t="inlineStr">
        <is>
          <t>67 列</t>
        </is>
      </c>
      <c r="F9" s="237" t="inlineStr">
        <is>
          <t>改「納入全般=否」</t>
        </is>
      </c>
      <c r="G9" s="238" t="inlineStr">
        <is>
          <t>頁 5/10 案類即時更新</t>
        </is>
      </c>
    </row>
    <row r="10" ht="30" customHeight="1">
      <c r="A10" s="12" t="inlineStr">
        <is>
          <t>E</t>
        </is>
      </c>
      <c r="B10" s="235" t="inlineStr">
        <is>
          <t>違規項目</t>
        </is>
      </c>
      <c r="C10" s="227" t="inlineStr">
        <is>
          <t>下方空白列 key 入</t>
        </is>
      </c>
      <c r="D10" s="221" t="n"/>
      <c r="E10" s="236" t="inlineStr">
        <is>
          <t>16 項</t>
        </is>
      </c>
      <c r="F10" s="237" t="inlineStr">
        <is>
          <t>改目標=0 或留白</t>
        </is>
      </c>
      <c r="G10" s="238" t="inlineStr">
        <is>
          <t>頁 9 達成率自動更新</t>
        </is>
      </c>
    </row>
    <row r="11" ht="30" customHeight="1">
      <c r="A11" s="12" t="inlineStr">
        <is>
          <t>F</t>
        </is>
      </c>
      <c r="B11" s="235" t="inlineStr">
        <is>
          <t>婦幼／協尋</t>
        </is>
      </c>
      <c r="C11" s="227" t="inlineStr">
        <is>
          <t>直接改件數＋更新日期</t>
        </is>
      </c>
      <c r="D11" s="221" t="n"/>
      <c r="E11" s="236" t="inlineStr">
        <is>
          <t>—</t>
        </is>
      </c>
      <c r="F11" s="237" t="inlineStr">
        <is>
          <t>件數=0 自動顯示「尚無」</t>
        </is>
      </c>
      <c r="G11" s="238" t="inlineStr">
        <is>
          <t>頁 2.5「其他管制」連動</t>
        </is>
      </c>
    </row>
    <row r="12" ht="30" customHeight="1">
      <c r="A12" s="12" t="inlineStr">
        <is>
          <t>C</t>
        </is>
      </c>
      <c r="B12" s="235" t="inlineStr">
        <is>
          <t>全所閾值</t>
        </is>
      </c>
      <c r="C12" s="227" t="inlineStr">
        <is>
          <t>改數值即可</t>
        </is>
      </c>
      <c r="D12" s="221" t="n"/>
      <c r="E12" s="236" t="inlineStr">
        <is>
          <t>—</t>
        </is>
      </c>
      <c r="F12" s="237" t="inlineStr">
        <is>
          <t>改回預設值</t>
        </is>
      </c>
      <c r="G12" s="238" t="inlineStr">
        <is>
          <t>各頁警示燈閾值跟著動</t>
        </is>
      </c>
    </row>
    <row r="13" ht="20" customHeight="1">
      <c r="B13" s="230" t="n"/>
      <c r="C13" s="230" t="n"/>
      <c r="D13" s="230" t="n"/>
      <c r="E13" s="230" t="n"/>
      <c r="F13" s="230" t="n"/>
      <c r="G13" s="230" t="n"/>
    </row>
    <row r="14" ht="38" customHeight="1">
      <c r="A14" s="65" t="inlineStr">
        <is>
          <t xml:space="preserve">  🏢  A 區 ─ 三層組織</t>
        </is>
      </c>
      <c r="B14" s="6" t="n"/>
      <c r="C14" s="6" t="n"/>
      <c r="D14" s="230" t="n"/>
      <c r="E14" s="230" t="n"/>
      <c r="F14" s="230" t="n"/>
      <c r="G14" s="230" t="n"/>
    </row>
    <row r="15" ht="34" customHeight="1">
      <c r="A15" s="10" t="inlineStr">
        <is>
          <t>項目</t>
        </is>
      </c>
      <c r="B15" s="233" t="inlineStr">
        <is>
          <t>值</t>
        </is>
      </c>
      <c r="C15" s="233" t="inlineStr">
        <is>
          <t>說明</t>
        </is>
      </c>
      <c r="D15" s="230" t="n"/>
      <c r="E15" s="230" t="n"/>
      <c r="F15" s="230" t="n"/>
      <c r="G15" s="230" t="n"/>
    </row>
    <row r="16" ht="30" customHeight="1">
      <c r="A16" s="13" t="inlineStr">
        <is>
          <t>警察局</t>
        </is>
      </c>
      <c r="B16" s="227" t="inlineStr">
        <is>
          <t>臺北市政府警察局</t>
        </is>
      </c>
      <c r="C16" s="238" t="inlineStr">
        <is>
          <t>全名（如「臺北市政府警察局」）</t>
        </is>
      </c>
      <c r="D16" s="230" t="n"/>
      <c r="E16" s="230" t="n"/>
      <c r="F16" s="230" t="n"/>
      <c r="G16" s="230" t="n"/>
    </row>
    <row r="17" ht="30" customHeight="1">
      <c r="A17" s="13" t="inlineStr">
        <is>
          <t>分局</t>
        </is>
      </c>
      <c r="B17" s="227" t="inlineStr">
        <is>
          <t>萬華分局</t>
        </is>
      </c>
      <c r="C17" s="238" t="inlineStr">
        <is>
          <t>如「萬華分局」</t>
        </is>
      </c>
      <c r="D17" s="230" t="n"/>
      <c r="E17" s="230" t="n"/>
      <c r="F17" s="230" t="n"/>
      <c r="G17" s="230" t="n"/>
    </row>
    <row r="18" ht="30" customHeight="1">
      <c r="A18" s="13" t="inlineStr">
        <is>
          <t>派出所</t>
        </is>
      </c>
      <c r="B18" s="227" t="inlineStr">
        <is>
          <t>康定路派出所</t>
        </is>
      </c>
      <c r="C18" s="238" t="inlineStr">
        <is>
          <t>如「康定路派出所」</t>
        </is>
      </c>
      <c r="D18" s="230" t="n"/>
      <c r="E18" s="230" t="n"/>
      <c r="F18" s="230" t="n"/>
      <c r="G18" s="230" t="n"/>
    </row>
    <row r="19" ht="30" customHeight="1">
      <c r="A19" s="13" t="inlineStr">
        <is>
          <t>派出所英文名</t>
        </is>
      </c>
      <c r="B19" s="227" t="inlineStr">
        <is>
          <t>KANGDING POLICE STATION</t>
        </is>
      </c>
      <c r="C19" s="238" t="inlineStr">
        <is>
          <t>給頁 2.5 章戳用</t>
        </is>
      </c>
      <c r="D19" s="230" t="n"/>
      <c r="E19" s="230" t="n"/>
      <c r="F19" s="230" t="n"/>
      <c r="G19" s="230" t="n"/>
    </row>
    <row r="20" ht="20" customHeight="1">
      <c r="B20" s="230" t="n"/>
      <c r="C20" s="230" t="n"/>
      <c r="D20" s="230" t="n"/>
      <c r="E20" s="230" t="n"/>
      <c r="F20" s="230" t="n"/>
      <c r="G20" s="230" t="n"/>
    </row>
    <row r="21" ht="38" customHeight="1">
      <c r="A21" s="65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3" t="inlineStr">
        <is>
          <t>姓名</t>
        </is>
      </c>
      <c r="C23" s="233" t="inlineStr">
        <is>
          <t>職稱</t>
        </is>
      </c>
      <c r="D23" s="233" t="inlineStr">
        <is>
          <t>是否在職</t>
        </is>
      </c>
      <c r="E23" s="233" t="inlineStr">
        <is>
          <t>是否納入統計</t>
        </is>
      </c>
      <c r="F23" s="233" t="inlineStr">
        <is>
          <t>排序</t>
        </is>
      </c>
      <c r="G23" s="233" t="inlineStr">
        <is>
          <t>備註</t>
        </is>
      </c>
    </row>
    <row r="24" ht="30" customHeight="1">
      <c r="A24" s="19" t="n"/>
      <c r="B24" s="223" t="n"/>
      <c r="C24" s="223" t="n"/>
      <c r="D24" s="223" t="n"/>
      <c r="E24" s="223" t="n"/>
      <c r="F24" s="223" t="n"/>
      <c r="G24" s="223" t="n"/>
    </row>
    <row r="25" ht="30" customHeight="1">
      <c r="A25" s="19" t="n"/>
      <c r="B25" s="223" t="n"/>
      <c r="C25" s="223" t="n"/>
      <c r="D25" s="223" t="n"/>
      <c r="E25" s="223" t="n"/>
      <c r="F25" s="223" t="n"/>
      <c r="G25" s="223" t="n"/>
    </row>
    <row r="26" ht="30" customHeight="1">
      <c r="A26" s="19" t="n"/>
      <c r="B26" s="223" t="n"/>
      <c r="C26" s="223" t="n"/>
      <c r="D26" s="223" t="n"/>
      <c r="E26" s="223" t="n"/>
      <c r="F26" s="223" t="n"/>
      <c r="G26" s="223" t="n"/>
    </row>
    <row r="27" ht="30" customHeight="1">
      <c r="A27" s="20" t="inlineStr"/>
      <c r="B27" s="225" t="inlineStr"/>
      <c r="C27" s="225" t="inlineStr"/>
      <c r="D27" s="225" t="inlineStr"/>
      <c r="E27" s="225" t="inlineStr"/>
      <c r="F27" s="225" t="inlineStr"/>
      <c r="G27" s="225" t="inlineStr"/>
    </row>
    <row r="28" ht="30" customHeight="1">
      <c r="A28" s="20" t="inlineStr"/>
      <c r="B28" s="225" t="inlineStr"/>
      <c r="C28" s="225" t="inlineStr"/>
      <c r="D28" s="225" t="inlineStr"/>
      <c r="E28" s="225" t="inlineStr"/>
      <c r="F28" s="225" t="inlineStr"/>
      <c r="G28" s="225" t="inlineStr"/>
    </row>
    <row r="29" ht="30" customHeight="1">
      <c r="A29" s="20" t="inlineStr"/>
      <c r="B29" s="225" t="inlineStr"/>
      <c r="C29" s="225" t="inlineStr"/>
      <c r="D29" s="225" t="inlineStr"/>
      <c r="E29" s="225" t="inlineStr"/>
      <c r="F29" s="225" t="inlineStr"/>
      <c r="G29" s="225" t="inlineStr"/>
    </row>
    <row r="30" ht="30" customHeight="1">
      <c r="A30" s="20" t="inlineStr"/>
      <c r="B30" s="225" t="inlineStr"/>
      <c r="C30" s="225" t="inlineStr"/>
      <c r="D30" s="225" t="inlineStr"/>
      <c r="E30" s="225" t="inlineStr"/>
      <c r="F30" s="225" t="inlineStr"/>
      <c r="G30" s="225" t="inlineStr"/>
    </row>
    <row r="31" ht="30" customHeight="1">
      <c r="A31" s="20" t="inlineStr"/>
      <c r="B31" s="225" t="inlineStr"/>
      <c r="C31" s="225" t="inlineStr"/>
      <c r="D31" s="225" t="inlineStr"/>
      <c r="E31" s="225" t="inlineStr"/>
      <c r="F31" s="225" t="inlineStr"/>
      <c r="G31" s="225" t="inlineStr"/>
    </row>
    <row r="32" ht="30" customHeight="1">
      <c r="A32" s="20" t="inlineStr"/>
      <c r="B32" s="225" t="inlineStr"/>
      <c r="C32" s="225" t="inlineStr"/>
      <c r="D32" s="225" t="inlineStr"/>
      <c r="E32" s="225" t="inlineStr"/>
      <c r="F32" s="225" t="inlineStr"/>
      <c r="G32" s="225" t="inlineStr"/>
    </row>
    <row r="33" ht="30" customHeight="1">
      <c r="A33" s="20" t="inlineStr"/>
      <c r="B33" s="225" t="inlineStr"/>
      <c r="C33" s="225" t="inlineStr"/>
      <c r="D33" s="225" t="inlineStr"/>
      <c r="E33" s="225" t="inlineStr"/>
      <c r="F33" s="225" t="inlineStr"/>
      <c r="G33" s="225" t="inlineStr"/>
    </row>
    <row r="34" ht="30" customHeight="1">
      <c r="A34" s="20" t="inlineStr"/>
      <c r="B34" s="225" t="inlineStr"/>
      <c r="C34" s="225" t="inlineStr"/>
      <c r="D34" s="225" t="inlineStr"/>
      <c r="E34" s="225" t="inlineStr"/>
      <c r="F34" s="225" t="inlineStr"/>
      <c r="G34" s="225" t="inlineStr"/>
    </row>
    <row r="35" ht="30" customHeight="1">
      <c r="A35" s="20" t="inlineStr"/>
      <c r="B35" s="225" t="inlineStr"/>
      <c r="C35" s="225" t="inlineStr"/>
      <c r="D35" s="225" t="inlineStr"/>
      <c r="E35" s="225" t="inlineStr"/>
      <c r="F35" s="225" t="inlineStr"/>
      <c r="G35" s="225" t="inlineStr"/>
    </row>
    <row r="36" ht="30" customHeight="1">
      <c r="A36" s="20" t="inlineStr"/>
      <c r="B36" s="225" t="inlineStr"/>
      <c r="C36" s="225" t="inlineStr"/>
      <c r="D36" s="225" t="inlineStr"/>
      <c r="E36" s="225" t="inlineStr"/>
      <c r="F36" s="225" t="inlineStr"/>
      <c r="G36" s="225" t="inlineStr"/>
    </row>
    <row r="37" ht="30" customHeight="1">
      <c r="A37" s="20" t="inlineStr"/>
      <c r="B37" s="225" t="inlineStr"/>
      <c r="C37" s="225" t="inlineStr"/>
      <c r="D37" s="225" t="inlineStr"/>
      <c r="E37" s="225" t="inlineStr"/>
      <c r="F37" s="225" t="inlineStr"/>
      <c r="G37" s="225" t="inlineStr"/>
    </row>
    <row r="38" ht="30" customHeight="1">
      <c r="A38" s="20" t="inlineStr"/>
      <c r="B38" s="225" t="inlineStr"/>
      <c r="C38" s="225" t="inlineStr"/>
      <c r="D38" s="225" t="inlineStr"/>
      <c r="E38" s="225" t="inlineStr"/>
      <c r="F38" s="225" t="inlineStr"/>
      <c r="G38" s="225" t="inlineStr"/>
    </row>
    <row r="39" ht="30" customHeight="1">
      <c r="A39" s="20" t="inlineStr"/>
      <c r="B39" s="225" t="inlineStr"/>
      <c r="C39" s="225" t="inlineStr"/>
      <c r="D39" s="225" t="inlineStr"/>
      <c r="E39" s="225" t="inlineStr"/>
      <c r="F39" s="225" t="inlineStr"/>
      <c r="G39" s="225" t="inlineStr"/>
    </row>
    <row r="40" ht="30" customHeight="1">
      <c r="A40" s="20" t="inlineStr"/>
      <c r="B40" s="225" t="inlineStr"/>
      <c r="C40" s="225" t="inlineStr"/>
      <c r="D40" s="225" t="inlineStr"/>
      <c r="E40" s="225" t="inlineStr"/>
      <c r="F40" s="225" t="inlineStr"/>
      <c r="G40" s="225" t="inlineStr"/>
    </row>
    <row r="41" ht="30" customHeight="1">
      <c r="A41" s="20" t="inlineStr"/>
      <c r="B41" s="225" t="inlineStr"/>
      <c r="C41" s="225" t="inlineStr"/>
      <c r="D41" s="225" t="inlineStr"/>
      <c r="E41" s="225" t="inlineStr"/>
      <c r="F41" s="225" t="inlineStr"/>
      <c r="G41" s="225" t="inlineStr"/>
    </row>
    <row r="42" ht="30" customHeight="1">
      <c r="A42" s="20" t="inlineStr"/>
      <c r="B42" s="225" t="inlineStr"/>
      <c r="C42" s="225" t="inlineStr"/>
      <c r="D42" s="225" t="inlineStr"/>
      <c r="E42" s="225" t="inlineStr"/>
      <c r="F42" s="225" t="inlineStr"/>
      <c r="G42" s="225" t="inlineStr"/>
    </row>
    <row r="43" ht="30" customHeight="1">
      <c r="A43" s="20" t="inlineStr"/>
      <c r="B43" s="225" t="inlineStr"/>
      <c r="C43" s="225" t="inlineStr"/>
      <c r="D43" s="225" t="inlineStr"/>
      <c r="E43" s="225" t="inlineStr"/>
      <c r="F43" s="225" t="inlineStr"/>
      <c r="G43" s="225" t="inlineStr"/>
    </row>
    <row r="44" ht="30" customHeight="1">
      <c r="A44" s="20" t="inlineStr"/>
      <c r="B44" s="225" t="inlineStr"/>
      <c r="C44" s="225" t="inlineStr"/>
      <c r="D44" s="225" t="inlineStr"/>
      <c r="E44" s="225" t="inlineStr"/>
      <c r="F44" s="225" t="inlineStr"/>
      <c r="G44" s="225" t="inlineStr"/>
    </row>
    <row r="45" ht="30" customHeight="1">
      <c r="A45" s="20" t="inlineStr"/>
      <c r="B45" s="225" t="inlineStr"/>
      <c r="C45" s="225" t="inlineStr"/>
      <c r="D45" s="225" t="inlineStr"/>
      <c r="E45" s="225" t="inlineStr"/>
      <c r="F45" s="225" t="inlineStr"/>
      <c r="G45" s="225" t="inlineStr"/>
    </row>
    <row r="46" ht="30" customHeight="1">
      <c r="A46" s="20" t="inlineStr"/>
      <c r="B46" s="225" t="inlineStr"/>
      <c r="C46" s="225" t="inlineStr"/>
      <c r="D46" s="225" t="inlineStr"/>
      <c r="E46" s="225" t="inlineStr"/>
      <c r="F46" s="225" t="inlineStr"/>
      <c r="G46" s="225" t="inlineStr"/>
    </row>
    <row r="47" ht="30" customHeight="1">
      <c r="A47" s="20" t="inlineStr"/>
      <c r="B47" s="225" t="inlineStr"/>
      <c r="C47" s="225" t="inlineStr"/>
      <c r="D47" s="225" t="inlineStr"/>
      <c r="E47" s="225" t="inlineStr"/>
      <c r="F47" s="225" t="inlineStr"/>
      <c r="G47" s="225" t="inlineStr"/>
    </row>
    <row r="48" ht="30" customHeight="1">
      <c r="A48" s="20" t="inlineStr"/>
      <c r="B48" s="225" t="inlineStr"/>
      <c r="C48" s="225" t="inlineStr"/>
      <c r="D48" s="225" t="inlineStr"/>
      <c r="E48" s="225" t="inlineStr"/>
      <c r="F48" s="225" t="inlineStr"/>
      <c r="G48" s="225" t="inlineStr"/>
    </row>
    <row r="49" ht="30" customHeight="1">
      <c r="A49" s="20" t="inlineStr"/>
      <c r="B49" s="225" t="inlineStr"/>
      <c r="C49" s="225" t="inlineStr"/>
      <c r="D49" s="225" t="inlineStr"/>
      <c r="E49" s="225" t="inlineStr"/>
      <c r="F49" s="225" t="inlineStr"/>
      <c r="G49" s="225" t="inlineStr"/>
    </row>
    <row r="50" ht="30" customHeight="1">
      <c r="A50" s="20" t="inlineStr"/>
      <c r="B50" s="225" t="inlineStr"/>
      <c r="C50" s="225" t="inlineStr"/>
      <c r="D50" s="225" t="inlineStr"/>
      <c r="E50" s="225" t="inlineStr"/>
      <c r="F50" s="225" t="inlineStr"/>
      <c r="G50" s="225" t="inlineStr"/>
    </row>
    <row r="51" ht="30" customHeight="1">
      <c r="A51" s="20" t="inlineStr"/>
      <c r="B51" s="225" t="inlineStr"/>
      <c r="C51" s="225" t="inlineStr"/>
      <c r="D51" s="225" t="inlineStr"/>
      <c r="E51" s="225" t="inlineStr"/>
      <c r="F51" s="225" t="inlineStr"/>
      <c r="G51" s="225" t="inlineStr"/>
    </row>
    <row r="52" ht="30" customHeight="1">
      <c r="A52" s="20" t="inlineStr"/>
      <c r="B52" s="225" t="inlineStr"/>
      <c r="C52" s="225" t="inlineStr"/>
      <c r="D52" s="225" t="inlineStr"/>
      <c r="E52" s="225" t="inlineStr"/>
      <c r="F52" s="225" t="inlineStr"/>
      <c r="G52" s="225" t="inlineStr"/>
    </row>
    <row r="53" ht="30" customHeight="1">
      <c r="A53" s="20" t="inlineStr"/>
      <c r="B53" s="225" t="inlineStr"/>
      <c r="C53" s="225" t="inlineStr"/>
      <c r="D53" s="225" t="inlineStr"/>
      <c r="E53" s="225" t="inlineStr"/>
      <c r="F53" s="225" t="inlineStr"/>
      <c r="G53" s="225" t="inlineStr"/>
    </row>
    <row r="54" ht="30" customHeight="1">
      <c r="A54" s="20" t="inlineStr"/>
      <c r="B54" s="225" t="inlineStr"/>
      <c r="C54" s="225" t="inlineStr"/>
      <c r="D54" s="225" t="inlineStr"/>
      <c r="E54" s="225" t="inlineStr"/>
      <c r="F54" s="225" t="inlineStr"/>
      <c r="G54" s="225" t="inlineStr"/>
    </row>
    <row r="55" ht="30" customHeight="1">
      <c r="A55" s="20" t="inlineStr"/>
      <c r="B55" s="225" t="inlineStr"/>
      <c r="C55" s="225" t="inlineStr"/>
      <c r="D55" s="225" t="inlineStr"/>
      <c r="E55" s="225" t="inlineStr"/>
      <c r="F55" s="225" t="inlineStr"/>
      <c r="G55" s="225" t="inlineStr"/>
    </row>
    <row r="56" ht="30" customHeight="1">
      <c r="A56" s="20" t="inlineStr"/>
      <c r="B56" s="225" t="inlineStr"/>
      <c r="C56" s="225" t="inlineStr"/>
      <c r="D56" s="225" t="inlineStr"/>
      <c r="E56" s="225" t="inlineStr"/>
      <c r="F56" s="225" t="inlineStr"/>
      <c r="G56" s="225" t="inlineStr"/>
    </row>
    <row r="57" ht="30" customHeight="1">
      <c r="A57" s="20" t="inlineStr"/>
      <c r="B57" s="225" t="inlineStr"/>
      <c r="C57" s="225" t="inlineStr"/>
      <c r="D57" s="225" t="inlineStr"/>
      <c r="E57" s="225" t="inlineStr"/>
      <c r="F57" s="225" t="inlineStr"/>
      <c r="G57" s="225" t="inlineStr"/>
    </row>
    <row r="58" ht="30" customHeight="1">
      <c r="A58" s="20" t="inlineStr"/>
      <c r="B58" s="225" t="inlineStr"/>
      <c r="C58" s="225" t="inlineStr"/>
      <c r="D58" s="225" t="inlineStr"/>
      <c r="E58" s="225" t="inlineStr"/>
      <c r="F58" s="225" t="inlineStr"/>
      <c r="G58" s="225" t="inlineStr"/>
    </row>
    <row r="59" ht="30" customHeight="1">
      <c r="A59" s="20" t="inlineStr"/>
      <c r="B59" s="225" t="inlineStr"/>
      <c r="C59" s="225" t="inlineStr"/>
      <c r="D59" s="225" t="inlineStr"/>
      <c r="E59" s="225" t="inlineStr"/>
      <c r="F59" s="225" t="inlineStr"/>
      <c r="G59" s="225" t="inlineStr"/>
    </row>
    <row r="60" ht="30" customHeight="1">
      <c r="A60" s="20" t="inlineStr"/>
      <c r="B60" s="225" t="inlineStr"/>
      <c r="C60" s="225" t="inlineStr"/>
      <c r="D60" s="225" t="inlineStr"/>
      <c r="E60" s="225" t="inlineStr"/>
      <c r="F60" s="225" t="inlineStr"/>
      <c r="G60" s="225" t="inlineStr"/>
    </row>
    <row r="61" ht="30" customHeight="1">
      <c r="A61" s="20" t="inlineStr"/>
      <c r="B61" s="225" t="inlineStr"/>
      <c r="C61" s="225" t="inlineStr"/>
      <c r="D61" s="225" t="inlineStr"/>
      <c r="E61" s="225" t="inlineStr"/>
      <c r="F61" s="225" t="inlineStr"/>
      <c r="G61" s="225" t="inlineStr"/>
    </row>
    <row r="62" ht="30" customHeight="1">
      <c r="A62" s="20" t="inlineStr"/>
      <c r="B62" s="225" t="inlineStr"/>
      <c r="C62" s="225" t="inlineStr"/>
      <c r="D62" s="225" t="inlineStr"/>
      <c r="E62" s="225" t="inlineStr"/>
      <c r="F62" s="225" t="inlineStr"/>
      <c r="G62" s="225" t="inlineStr"/>
    </row>
    <row r="63" ht="30" customHeight="1">
      <c r="A63" s="20" t="inlineStr"/>
      <c r="B63" s="225" t="inlineStr"/>
      <c r="C63" s="225" t="inlineStr"/>
      <c r="D63" s="225" t="inlineStr"/>
      <c r="E63" s="225" t="inlineStr"/>
      <c r="F63" s="225" t="inlineStr"/>
      <c r="G63" s="225" t="inlineStr"/>
    </row>
    <row r="64" ht="30" customHeight="1">
      <c r="A64" s="20" t="inlineStr"/>
      <c r="B64" s="225" t="inlineStr"/>
      <c r="C64" s="225" t="inlineStr"/>
      <c r="D64" s="225" t="inlineStr"/>
      <c r="E64" s="225" t="inlineStr"/>
      <c r="F64" s="225" t="inlineStr"/>
      <c r="G64" s="225" t="inlineStr"/>
    </row>
    <row r="65" ht="30" customHeight="1">
      <c r="A65" s="20" t="inlineStr"/>
      <c r="B65" s="225" t="inlineStr"/>
      <c r="C65" s="225" t="inlineStr"/>
      <c r="D65" s="225" t="inlineStr"/>
      <c r="E65" s="225" t="inlineStr"/>
      <c r="F65" s="225" t="inlineStr"/>
      <c r="G65" s="225" t="inlineStr"/>
    </row>
    <row r="66" ht="30" customHeight="1">
      <c r="A66" s="20" t="inlineStr"/>
      <c r="B66" s="225" t="inlineStr"/>
      <c r="C66" s="225" t="inlineStr"/>
      <c r="D66" s="225" t="inlineStr"/>
      <c r="E66" s="225" t="inlineStr"/>
      <c r="F66" s="225" t="inlineStr"/>
      <c r="G66" s="225" t="inlineStr"/>
    </row>
    <row r="67" ht="30" customHeight="1">
      <c r="A67" s="20" t="inlineStr"/>
      <c r="B67" s="225" t="inlineStr"/>
      <c r="C67" s="225" t="inlineStr"/>
      <c r="D67" s="225" t="inlineStr"/>
      <c r="E67" s="225" t="inlineStr"/>
      <c r="F67" s="225" t="inlineStr"/>
      <c r="G67" s="225" t="inlineStr"/>
    </row>
    <row r="68" ht="30" customHeight="1">
      <c r="A68" s="20" t="inlineStr"/>
      <c r="B68" s="225" t="inlineStr"/>
      <c r="C68" s="225" t="inlineStr"/>
      <c r="D68" s="225" t="inlineStr"/>
      <c r="E68" s="225" t="inlineStr"/>
      <c r="F68" s="225" t="inlineStr"/>
      <c r="G68" s="225" t="inlineStr"/>
    </row>
    <row r="69" ht="30" customHeight="1">
      <c r="A69" s="20" t="inlineStr"/>
      <c r="B69" s="225" t="inlineStr"/>
      <c r="C69" s="225" t="inlineStr"/>
      <c r="D69" s="225" t="inlineStr"/>
      <c r="E69" s="225" t="inlineStr"/>
      <c r="F69" s="225" t="inlineStr"/>
      <c r="G69" s="225" t="inlineStr"/>
    </row>
    <row r="70" ht="30" customHeight="1">
      <c r="A70" s="20" t="inlineStr"/>
      <c r="B70" s="225" t="inlineStr"/>
      <c r="C70" s="225" t="inlineStr"/>
      <c r="D70" s="225" t="inlineStr"/>
      <c r="E70" s="225" t="inlineStr"/>
      <c r="F70" s="225" t="inlineStr"/>
      <c r="G70" s="225" t="inlineStr"/>
    </row>
    <row r="71" ht="30" customHeight="1">
      <c r="A71" s="20" t="inlineStr"/>
      <c r="B71" s="225" t="inlineStr"/>
      <c r="C71" s="225" t="inlineStr"/>
      <c r="D71" s="225" t="inlineStr"/>
      <c r="E71" s="225" t="inlineStr"/>
      <c r="F71" s="225" t="inlineStr"/>
      <c r="G71" s="225" t="inlineStr"/>
    </row>
    <row r="72" ht="30" customHeight="1">
      <c r="A72" s="20" t="inlineStr"/>
      <c r="B72" s="225" t="inlineStr"/>
      <c r="C72" s="225" t="inlineStr"/>
      <c r="D72" s="225" t="inlineStr"/>
      <c r="E72" s="225" t="inlineStr"/>
      <c r="F72" s="225" t="inlineStr"/>
      <c r="G72" s="225" t="inlineStr"/>
    </row>
    <row r="73" ht="30" customHeight="1">
      <c r="A73" s="20" t="inlineStr"/>
      <c r="B73" s="225" t="inlineStr"/>
      <c r="C73" s="225" t="inlineStr"/>
      <c r="D73" s="225" t="inlineStr"/>
      <c r="E73" s="225" t="inlineStr"/>
      <c r="F73" s="225" t="inlineStr"/>
      <c r="G73" s="225" t="inlineStr"/>
    </row>
    <row r="74" ht="30" customHeight="1">
      <c r="A74" s="20" t="inlineStr"/>
      <c r="B74" s="225" t="inlineStr"/>
      <c r="C74" s="225" t="inlineStr"/>
      <c r="D74" s="225" t="inlineStr"/>
      <c r="E74" s="225" t="inlineStr"/>
      <c r="F74" s="225" t="inlineStr"/>
      <c r="G74" s="225" t="inlineStr"/>
    </row>
    <row r="75" ht="30" customHeight="1">
      <c r="A75" s="20" t="inlineStr"/>
      <c r="B75" s="225" t="inlineStr"/>
      <c r="C75" s="225" t="inlineStr"/>
      <c r="D75" s="225" t="inlineStr"/>
      <c r="E75" s="225" t="inlineStr"/>
      <c r="F75" s="225" t="inlineStr"/>
      <c r="G75" s="225" t="inlineStr"/>
    </row>
    <row r="76" ht="30" customHeight="1">
      <c r="A76" s="20" t="inlineStr"/>
      <c r="B76" s="225" t="inlineStr"/>
      <c r="C76" s="225" t="inlineStr"/>
      <c r="D76" s="225" t="inlineStr"/>
      <c r="E76" s="225" t="inlineStr"/>
      <c r="F76" s="225" t="inlineStr"/>
      <c r="G76" s="225" t="inlineStr"/>
    </row>
    <row r="77" ht="30" customHeight="1">
      <c r="A77" s="20" t="inlineStr"/>
      <c r="B77" s="225" t="inlineStr"/>
      <c r="C77" s="225" t="inlineStr"/>
      <c r="D77" s="225" t="inlineStr"/>
      <c r="E77" s="225" t="inlineStr"/>
      <c r="F77" s="225" t="inlineStr"/>
      <c r="G77" s="225" t="inlineStr"/>
    </row>
    <row r="78" ht="30" customHeight="1">
      <c r="A78" s="20" t="inlineStr"/>
      <c r="B78" s="225" t="inlineStr"/>
      <c r="C78" s="225" t="inlineStr"/>
      <c r="D78" s="225" t="inlineStr"/>
      <c r="E78" s="225" t="inlineStr"/>
      <c r="F78" s="225" t="inlineStr"/>
      <c r="G78" s="225" t="inlineStr"/>
    </row>
    <row r="79" ht="30" customHeight="1">
      <c r="A79" s="20" t="inlineStr"/>
      <c r="B79" s="225" t="inlineStr"/>
      <c r="C79" s="225" t="inlineStr"/>
      <c r="D79" s="225" t="inlineStr"/>
      <c r="E79" s="225" t="inlineStr"/>
      <c r="F79" s="225" t="inlineStr"/>
      <c r="G79" s="225" t="inlineStr"/>
    </row>
    <row r="80" ht="30" customHeight="1">
      <c r="A80" s="20" t="inlineStr"/>
      <c r="B80" s="225" t="inlineStr"/>
      <c r="C80" s="225" t="inlineStr"/>
      <c r="D80" s="225" t="inlineStr"/>
      <c r="E80" s="225" t="inlineStr"/>
      <c r="F80" s="225" t="inlineStr"/>
      <c r="G80" s="225" t="inlineStr"/>
    </row>
    <row r="81" ht="30" customHeight="1">
      <c r="A81" s="20" t="inlineStr"/>
      <c r="B81" s="225" t="inlineStr"/>
      <c r="C81" s="225" t="inlineStr"/>
      <c r="D81" s="225" t="inlineStr"/>
      <c r="E81" s="225" t="inlineStr"/>
      <c r="F81" s="225" t="inlineStr"/>
      <c r="G81" s="225" t="inlineStr"/>
    </row>
    <row r="82" ht="30" customHeight="1">
      <c r="A82" s="20" t="inlineStr"/>
      <c r="B82" s="225" t="inlineStr"/>
      <c r="C82" s="225" t="inlineStr"/>
      <c r="D82" s="225" t="inlineStr"/>
      <c r="E82" s="225" t="inlineStr"/>
      <c r="F82" s="225" t="inlineStr"/>
      <c r="G82" s="225" t="inlineStr"/>
    </row>
    <row r="83" ht="30" customHeight="1">
      <c r="A83" s="20" t="inlineStr"/>
      <c r="B83" s="225" t="inlineStr"/>
      <c r="C83" s="225" t="inlineStr"/>
      <c r="D83" s="225" t="inlineStr"/>
      <c r="E83" s="225" t="inlineStr"/>
      <c r="F83" s="225" t="inlineStr"/>
      <c r="G83" s="225" t="inlineStr"/>
    </row>
    <row r="84" ht="20" customHeight="1">
      <c r="B84" s="230" t="n"/>
      <c r="C84" s="230" t="n"/>
      <c r="D84" s="230" t="n"/>
      <c r="E84" s="230" t="n"/>
      <c r="F84" s="230" t="n"/>
      <c r="G84" s="230" t="n"/>
    </row>
    <row r="85" ht="38" customHeight="1">
      <c r="A85" s="65" t="inlineStr">
        <is>
          <t xml:space="preserve">  ⚙  C 區 ─ 全所閾值    ｜ 性能關鍵：TODAY() 集中於此區</t>
        </is>
      </c>
      <c r="B85" s="6" t="n"/>
      <c r="C85" s="6" t="n"/>
      <c r="D85" s="230" t="n"/>
      <c r="E85" s="230" t="n"/>
      <c r="F85" s="230" t="n"/>
      <c r="G85" s="230" t="n"/>
    </row>
    <row r="86" ht="34" customHeight="1">
      <c r="A86" s="10" t="inlineStr">
        <is>
          <t>項目</t>
        </is>
      </c>
      <c r="B86" s="233" t="inlineStr">
        <is>
          <t>值</t>
        </is>
      </c>
      <c r="C86" s="233" t="inlineStr">
        <is>
          <t>說明</t>
        </is>
      </c>
      <c r="D86" s="230" t="n"/>
      <c r="E86" s="230" t="n"/>
      <c r="F86" s="230" t="n"/>
      <c r="G86" s="230" t="n"/>
    </row>
    <row r="87" ht="30" customHeight="1">
      <c r="A87" s="13" t="inlineStr">
        <is>
          <t>毒調率目標</t>
        </is>
      </c>
      <c r="B87" s="239" t="n">
        <v>0.6</v>
      </c>
      <c r="C87" s="238" t="inlineStr">
        <is>
          <t>目標達成率（預設 60%）</t>
        </is>
      </c>
      <c r="D87" s="230" t="n"/>
      <c r="E87" s="230" t="n"/>
      <c r="F87" s="230" t="n"/>
      <c r="G87" s="230" t="n"/>
    </row>
    <row r="88" ht="30" customHeight="1">
      <c r="A88" s="13" t="inlineStr">
        <is>
          <t>新進案件閾值（日）</t>
        </is>
      </c>
      <c r="B88" s="240" t="n">
        <v>7</v>
      </c>
      <c r="C88" s="238" t="inlineStr">
        <is>
          <t>發展中案件新進的天數上限（v2.1 改 7 日更敏感）</t>
        </is>
      </c>
      <c r="D88" s="230" t="n"/>
      <c r="E88" s="230" t="n"/>
      <c r="F88" s="230" t="n"/>
      <c r="G88" s="230" t="n"/>
    </row>
    <row r="89" ht="30" customHeight="1">
      <c r="A89" s="13" t="inlineStr">
        <is>
          <t>老案閾值（日）</t>
        </is>
      </c>
      <c r="B89" s="240" t="n">
        <v>30</v>
      </c>
      <c r="C89" s="238" t="inlineStr">
        <is>
          <t>發展中案件老案的天數下限（v2.1 改 30 日更敏感）</t>
        </is>
      </c>
      <c r="D89" s="230" t="n"/>
      <c r="E89" s="230" t="n"/>
      <c r="F89" s="230" t="n"/>
      <c r="G89" s="230" t="n"/>
    </row>
    <row r="90" ht="30" customHeight="1">
      <c r="A90" s="13" t="inlineStr">
        <is>
          <t>案件容量警示（列）</t>
        </is>
      </c>
      <c r="B90" s="240" t="n">
        <v>800</v>
      </c>
      <c r="C90" s="238" t="inlineStr">
        <is>
          <t>案件資料庫達此列數系統檢核黃燈</t>
        </is>
      </c>
      <c r="D90" s="230" t="n"/>
      <c r="E90" s="230" t="n"/>
      <c r="F90" s="230" t="n"/>
      <c r="G90" s="230" t="n"/>
    </row>
    <row r="91" ht="30" customHeight="1">
      <c r="A91" s="13" t="inlineStr">
        <is>
          <t>案件容量上限（列）</t>
        </is>
      </c>
      <c r="B91" s="240" t="n">
        <v>1000</v>
      </c>
      <c r="C91" s="238" t="inlineStr">
        <is>
          <t>案件資料庫絕對上限</t>
        </is>
      </c>
      <c r="D91" s="230" t="n"/>
      <c r="E91" s="230" t="n"/>
      <c r="F91" s="230" t="n"/>
      <c r="G91" s="230" t="n"/>
    </row>
    <row r="92" ht="30" customHeight="1">
      <c r="A92" s="13" t="inlineStr">
        <is>
          <t>毒調逾期天數</t>
        </is>
      </c>
      <c r="B92" s="240" t="n">
        <v>30</v>
      </c>
      <c r="C92" s="238" t="inlineStr">
        <is>
          <t>聲請強採書的逾期天數</t>
        </is>
      </c>
      <c r="D92" s="230" t="n"/>
      <c r="E92" s="230" t="n"/>
      <c r="F92" s="230" t="n"/>
      <c r="G92" s="230" t="n"/>
    </row>
    <row r="93" ht="30" customHeight="1">
      <c r="A93" s="13" t="inlineStr">
        <is>
          <t>歷史保留月數</t>
        </is>
      </c>
      <c r="B93" s="240" t="n">
        <v>132</v>
      </c>
      <c r="C93" s="238" t="inlineStr">
        <is>
          <t>Tbl歷史保留 132 月 ≈ 11 年</t>
        </is>
      </c>
      <c r="D93" s="230" t="n"/>
      <c r="E93" s="230" t="n"/>
      <c r="F93" s="230" t="n"/>
      <c r="G93" s="230" t="n"/>
    </row>
    <row r="94" ht="20" customHeight="1">
      <c r="B94" s="230" t="n"/>
      <c r="C94" s="230" t="n"/>
      <c r="D94" s="230" t="n"/>
      <c r="E94" s="230" t="n"/>
      <c r="F94" s="230" t="n"/>
      <c r="G94" s="230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0" t="n"/>
      <c r="G95" s="230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0" t="n"/>
      <c r="G96" s="230" t="n"/>
    </row>
    <row r="97" ht="34" customHeight="1">
      <c r="A97" s="10" t="inlineStr">
        <is>
          <t>案類代碼</t>
        </is>
      </c>
      <c r="B97" s="233" t="inlineStr">
        <is>
          <t>案類名稱</t>
        </is>
      </c>
      <c r="C97" s="233" t="inlineStr">
        <is>
          <t>案類分類</t>
        </is>
      </c>
      <c r="D97" s="233" t="inlineStr">
        <is>
          <t>納入全般統計</t>
        </is>
      </c>
      <c r="E97" s="233" t="inlineStr">
        <is>
          <t>納入破獲率</t>
        </is>
      </c>
      <c r="F97" s="230" t="n"/>
      <c r="G97" s="230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0" t="n"/>
      <c r="G98" s="230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0" t="n"/>
      <c r="G99" s="230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0" t="n"/>
      <c r="G100" s="230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0" t="n"/>
      <c r="G101" s="230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0" t="n"/>
      <c r="G102" s="230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0" t="n"/>
      <c r="G103" s="230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0" t="n"/>
      <c r="G104" s="230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0" t="n"/>
      <c r="G105" s="230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0" t="n"/>
      <c r="G106" s="230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0" t="n"/>
      <c r="G107" s="230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0" t="n"/>
      <c r="G108" s="230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0" t="n"/>
      <c r="G109" s="230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0" t="n"/>
      <c r="G110" s="230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0" t="n"/>
      <c r="G111" s="230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0" t="n"/>
      <c r="G112" s="230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0" t="n"/>
      <c r="G113" s="230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0" t="n"/>
      <c r="G114" s="230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0" t="n"/>
      <c r="G115" s="230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0" t="n"/>
      <c r="G116" s="230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0" t="n"/>
      <c r="G117" s="230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0" t="n"/>
      <c r="G118" s="230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0" t="n"/>
      <c r="G119" s="230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0" t="n"/>
      <c r="G120" s="230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0" t="n"/>
      <c r="G121" s="230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0" t="n"/>
      <c r="G122" s="230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0" t="n"/>
      <c r="G123" s="230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0" t="n"/>
      <c r="G124" s="230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0" t="n"/>
      <c r="G125" s="230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0" t="n"/>
      <c r="G126" s="230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0" t="n"/>
      <c r="G127" s="230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0" t="n"/>
      <c r="G128" s="230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0" t="n"/>
      <c r="G129" s="230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0" t="n"/>
      <c r="G130" s="230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0" t="n"/>
      <c r="G131" s="230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0" t="n"/>
      <c r="G132" s="230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0" t="n"/>
      <c r="G133" s="230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0" t="n"/>
      <c r="G134" s="230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0" t="n"/>
      <c r="G135" s="230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0" t="n"/>
      <c r="G136" s="230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0" t="n"/>
      <c r="G137" s="230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0" t="n"/>
      <c r="G138" s="230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0" t="n"/>
      <c r="G139" s="230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0" t="n"/>
      <c r="G140" s="230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0" t="n"/>
      <c r="G141" s="230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0" t="n"/>
      <c r="G142" s="230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0" t="n"/>
      <c r="G143" s="230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0" t="n"/>
      <c r="G144" s="230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0" t="n"/>
      <c r="G145" s="230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0" t="n"/>
      <c r="G146" s="230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0" t="n"/>
      <c r="G147" s="230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0" t="n"/>
      <c r="G148" s="230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0" t="n"/>
      <c r="G149" s="230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0" t="n"/>
      <c r="G150" s="230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0" t="n"/>
      <c r="G151" s="230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0" t="n"/>
      <c r="G152" s="230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0" t="n"/>
      <c r="G153" s="230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0" t="n"/>
      <c r="G154" s="230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0" t="n"/>
      <c r="G155" s="230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0" t="n"/>
      <c r="G156" s="230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0" t="n"/>
      <c r="G157" s="230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0" t="n"/>
      <c r="G158" s="230" t="n"/>
    </row>
    <row r="159" ht="30" customHeight="1">
      <c r="A159" s="20" t="n"/>
      <c r="B159" s="225" t="n"/>
      <c r="C159" s="225" t="n"/>
      <c r="D159" s="225" t="n"/>
      <c r="E159" s="225" t="n"/>
      <c r="F159" s="230" t="n"/>
      <c r="G159" s="230" t="n"/>
    </row>
    <row r="160" ht="30" customHeight="1">
      <c r="A160" s="20" t="n"/>
      <c r="B160" s="225" t="n"/>
      <c r="C160" s="225" t="n"/>
      <c r="D160" s="225" t="n"/>
      <c r="E160" s="225" t="n"/>
      <c r="F160" s="230" t="n"/>
      <c r="G160" s="230" t="n"/>
    </row>
    <row r="161" ht="30" customHeight="1">
      <c r="A161" s="20" t="n"/>
      <c r="B161" s="225" t="n"/>
      <c r="C161" s="225" t="n"/>
      <c r="D161" s="225" t="n"/>
      <c r="E161" s="225" t="n"/>
      <c r="F161" s="230" t="n"/>
      <c r="G161" s="230" t="n"/>
    </row>
    <row r="162" ht="30" customHeight="1">
      <c r="A162" s="20" t="n"/>
      <c r="B162" s="225" t="n"/>
      <c r="C162" s="225" t="n"/>
      <c r="D162" s="225" t="n"/>
      <c r="E162" s="225" t="n"/>
      <c r="F162" s="230" t="n"/>
      <c r="G162" s="230" t="n"/>
    </row>
    <row r="163" ht="30" customHeight="1">
      <c r="A163" s="20" t="n"/>
      <c r="B163" s="225" t="n"/>
      <c r="C163" s="225" t="n"/>
      <c r="D163" s="225" t="n"/>
      <c r="E163" s="225" t="n"/>
      <c r="F163" s="230" t="n"/>
      <c r="G163" s="230" t="n"/>
    </row>
    <row r="164" ht="20" customHeight="1">
      <c r="B164" s="230" t="n"/>
      <c r="C164" s="230" t="n"/>
      <c r="D164" s="230" t="n"/>
      <c r="E164" s="230" t="n"/>
      <c r="F164" s="230" t="n"/>
      <c r="G164" s="230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6" t="n"/>
      <c r="C165" s="6" t="n"/>
      <c r="D165" s="230" t="n"/>
      <c r="E165" s="230" t="n"/>
      <c r="F165" s="230" t="n"/>
      <c r="G165" s="230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0" t="n"/>
      <c r="E166" s="230" t="n"/>
      <c r="F166" s="230" t="n"/>
      <c r="G166" s="230" t="n"/>
    </row>
    <row r="167" ht="34" customHeight="1">
      <c r="A167" s="10" t="inlineStr">
        <is>
          <t>違規項目</t>
        </is>
      </c>
      <c r="B167" s="233" t="inlineStr">
        <is>
          <t>目標</t>
        </is>
      </c>
      <c r="C167" s="233" t="inlineStr">
        <is>
          <t>達成率警示閾值</t>
        </is>
      </c>
      <c r="D167" s="230" t="n"/>
      <c r="E167" s="230" t="n"/>
      <c r="F167" s="230" t="n"/>
      <c r="G167" s="230" t="n"/>
    </row>
    <row r="168" ht="30" customHeight="1">
      <c r="A168" s="19" t="inlineStr">
        <is>
          <t>車輛不停讓行人</t>
        </is>
      </c>
      <c r="B168" s="241" t="n">
        <v>18</v>
      </c>
      <c r="C168" s="223" t="inlineStr">
        <is>
          <t>70%</t>
        </is>
      </c>
      <c r="D168" s="230" t="n"/>
      <c r="E168" s="230" t="n"/>
      <c r="F168" s="230" t="n"/>
      <c r="G168" s="230" t="n"/>
    </row>
    <row r="169" ht="30" customHeight="1">
      <c r="A169" s="19" t="inlineStr">
        <is>
          <t>行人違規</t>
        </is>
      </c>
      <c r="B169" s="241" t="n">
        <v>31</v>
      </c>
      <c r="C169" s="223" t="inlineStr">
        <is>
          <t>70%</t>
        </is>
      </c>
      <c r="D169" s="230" t="n"/>
      <c r="E169" s="230" t="n"/>
      <c r="F169" s="230" t="n"/>
      <c r="G169" s="230" t="n"/>
    </row>
    <row r="170" ht="30" customHeight="1">
      <c r="A170" s="19" t="inlineStr">
        <is>
          <t>車輛行駛人行道</t>
        </is>
      </c>
      <c r="B170" s="241" t="n">
        <v>19</v>
      </c>
      <c r="C170" s="223" t="inlineStr">
        <is>
          <t>70%</t>
        </is>
      </c>
      <c r="D170" s="230" t="n"/>
      <c r="E170" s="230" t="n"/>
      <c r="F170" s="230" t="n"/>
      <c r="G170" s="230" t="n"/>
    </row>
    <row r="171" ht="30" customHeight="1">
      <c r="A171" s="19" t="inlineStr">
        <is>
          <t>移動式測速取締</t>
        </is>
      </c>
      <c r="B171" s="241" t="n">
        <v>0</v>
      </c>
      <c r="C171" s="223" t="inlineStr">
        <is>
          <t>70%</t>
        </is>
      </c>
      <c r="D171" s="230" t="n"/>
      <c r="E171" s="230" t="n"/>
      <c r="F171" s="230" t="n"/>
      <c r="G171" s="230" t="n"/>
    </row>
    <row r="172" ht="30" customHeight="1">
      <c r="A172" s="19" t="inlineStr">
        <is>
          <t>大型車動態違規</t>
        </is>
      </c>
      <c r="B172" s="241" t="n">
        <v>7</v>
      </c>
      <c r="C172" s="223" t="inlineStr">
        <is>
          <t>70%</t>
        </is>
      </c>
      <c r="D172" s="230" t="n"/>
      <c r="E172" s="230" t="n"/>
      <c r="F172" s="230" t="n"/>
      <c r="G172" s="230" t="n"/>
    </row>
    <row r="173" ht="30" customHeight="1">
      <c r="A173" s="19" t="inlineStr">
        <is>
          <t>慢車易肇事違規</t>
        </is>
      </c>
      <c r="B173" s="241" t="n">
        <v>5</v>
      </c>
      <c r="C173" s="223" t="inlineStr">
        <is>
          <t>70%</t>
        </is>
      </c>
      <c r="D173" s="230" t="n"/>
      <c r="E173" s="230" t="n"/>
      <c r="F173" s="230" t="n"/>
      <c r="G173" s="230" t="n"/>
    </row>
    <row r="174" ht="30" customHeight="1">
      <c r="A174" s="20" t="n"/>
      <c r="B174" s="225" t="n"/>
      <c r="C174" s="225" t="n"/>
      <c r="D174" s="230" t="n"/>
      <c r="E174" s="230" t="n"/>
      <c r="F174" s="230" t="n"/>
      <c r="G174" s="230" t="n"/>
    </row>
    <row r="175" ht="30" customHeight="1">
      <c r="A175" s="20" t="n"/>
      <c r="B175" s="225" t="n"/>
      <c r="C175" s="225" t="n"/>
      <c r="D175" s="230" t="n"/>
      <c r="E175" s="230" t="n"/>
      <c r="F175" s="230" t="n"/>
      <c r="G175" s="230" t="n"/>
    </row>
    <row r="176" ht="30" customHeight="1">
      <c r="A176" s="20" t="n"/>
      <c r="B176" s="225" t="n"/>
      <c r="C176" s="225" t="n"/>
      <c r="D176" s="230" t="n"/>
      <c r="E176" s="230" t="n"/>
      <c r="F176" s="230" t="n"/>
      <c r="G176" s="230" t="n"/>
    </row>
    <row r="177" ht="30" customHeight="1">
      <c r="A177" s="20" t="n"/>
      <c r="B177" s="225" t="n"/>
      <c r="C177" s="225" t="n"/>
      <c r="D177" s="230" t="n"/>
      <c r="E177" s="230" t="n"/>
      <c r="F177" s="230" t="n"/>
      <c r="G177" s="230" t="n"/>
    </row>
    <row r="178" ht="20" customHeight="1">
      <c r="B178" s="230" t="n"/>
      <c r="C178" s="230" t="n"/>
      <c r="D178" s="230" t="n"/>
      <c r="E178" s="230" t="n"/>
      <c r="F178" s="230" t="n"/>
      <c r="G178" s="230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0" t="n"/>
      <c r="E179" s="230" t="n"/>
      <c r="F179" s="230" t="n"/>
      <c r="G179" s="230" t="n"/>
    </row>
    <row r="180" ht="34" customHeight="1">
      <c r="A180" s="10" t="inlineStr">
        <is>
          <t>項目</t>
        </is>
      </c>
      <c r="B180" s="233" t="inlineStr">
        <is>
          <t>件數</t>
        </is>
      </c>
      <c r="C180" s="233" t="inlineStr">
        <is>
          <t>最後更新日</t>
        </is>
      </c>
      <c r="D180" s="230" t="n"/>
      <c r="E180" s="230" t="n"/>
      <c r="F180" s="230" t="n"/>
      <c r="G180" s="230" t="n"/>
    </row>
    <row r="181" ht="30" customHeight="1">
      <c r="A181" s="13" t="inlineStr">
        <is>
          <t>婦幼案件</t>
        </is>
      </c>
      <c r="B181" s="242" t="n">
        <v>0</v>
      </c>
      <c r="C181" s="223" t="inlineStr">
        <is>
          <t>115/05/22</t>
        </is>
      </c>
      <c r="D181" s="230" t="n"/>
      <c r="E181" s="230" t="n"/>
      <c r="F181" s="230" t="n"/>
      <c r="G181" s="230" t="n"/>
    </row>
    <row r="182" ht="30" customHeight="1">
      <c r="A182" s="13" t="inlineStr">
        <is>
          <t>協尋人口案件</t>
        </is>
      </c>
      <c r="B182" s="242" t="n">
        <v>0</v>
      </c>
      <c r="C182" s="223" t="inlineStr">
        <is>
          <t>115/05/22</t>
        </is>
      </c>
      <c r="D182" s="230" t="n"/>
      <c r="E182" s="230" t="n"/>
      <c r="F182" s="230" t="n"/>
      <c r="G182" s="230" t="n"/>
    </row>
    <row r="183" ht="20" customHeight="1">
      <c r="B183" s="230" t="n"/>
      <c r="C183" s="230" t="n"/>
      <c r="D183" s="230" t="n"/>
      <c r="E183" s="230" t="n"/>
      <c r="F183" s="230" t="n"/>
      <c r="G183" s="230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6" t="n"/>
      <c r="C184" s="6" t="n"/>
      <c r="D184" s="230" t="n"/>
      <c r="E184" s="230" t="n"/>
      <c r="F184" s="230" t="n"/>
      <c r="G184" s="230" t="n"/>
    </row>
    <row r="185" ht="34" customHeight="1">
      <c r="A185" s="10" t="inlineStr">
        <is>
          <t>項目</t>
        </is>
      </c>
      <c r="B185" s="233" t="inlineStr">
        <is>
          <t>值</t>
        </is>
      </c>
      <c r="C185" s="233" t="inlineStr">
        <is>
          <t>說明</t>
        </is>
      </c>
      <c r="D185" s="230" t="n"/>
      <c r="E185" s="230" t="n"/>
      <c r="F185" s="230" t="n"/>
      <c r="G185" s="230" t="n"/>
    </row>
    <row r="186" ht="30" customHeight="1">
      <c r="A186" s="13" t="inlineStr">
        <is>
          <t>案件資料庫密碼</t>
        </is>
      </c>
      <c r="B186" s="240" t="inlineStr">
        <is>
          <t>KD2026</t>
        </is>
      </c>
      <c r="C186" s="243" t="inlineStr">
        <is>
          <t>⚠ 預設 KD2026，強烈建議派出所自訂個別密碼</t>
        </is>
      </c>
      <c r="D186" s="230" t="n"/>
      <c r="E186" s="230" t="n"/>
      <c r="F186" s="230" t="n"/>
      <c r="G186" s="230" t="n"/>
    </row>
    <row r="187" ht="20" customHeight="1">
      <c r="B187" s="230" t="n"/>
      <c r="C187" s="230" t="n"/>
      <c r="D187" s="230" t="n"/>
      <c r="E187" s="230" t="n"/>
      <c r="F187" s="230" t="n"/>
      <c r="G187" s="230" t="n"/>
    </row>
    <row r="188" ht="26" customHeight="1">
      <c r="A188" s="66" t="inlineStr">
        <is>
          <t xml:space="preserve">  📋 偵辦進度清單（命名範圍：偵辦進度清單）</t>
        </is>
      </c>
      <c r="B188" s="33" t="n"/>
      <c r="C188" s="33" t="n"/>
      <c r="D188" s="230" t="n"/>
      <c r="E188" s="230" t="n"/>
      <c r="F188" s="230" t="n"/>
      <c r="G188" s="230" t="n"/>
    </row>
    <row r="189" ht="30" customHeight="1">
      <c r="A189" s="19" t="inlineStr">
        <is>
          <t>偵辦中</t>
        </is>
      </c>
      <c r="B189" s="230" t="n"/>
      <c r="C189" s="230" t="n"/>
      <c r="D189" s="230" t="n"/>
      <c r="E189" s="230" t="n"/>
      <c r="F189" s="230" t="n"/>
      <c r="G189" s="230" t="n"/>
    </row>
    <row r="190" ht="30" customHeight="1">
      <c r="A190" s="19" t="inlineStr">
        <is>
          <t>已破獲</t>
        </is>
      </c>
      <c r="B190" s="230" t="n"/>
      <c r="C190" s="230" t="n"/>
      <c r="D190" s="230" t="n"/>
      <c r="E190" s="230" t="n"/>
      <c r="F190" s="230" t="n"/>
      <c r="G190" s="230" t="n"/>
    </row>
    <row r="191" ht="30" customHeight="1">
      <c r="A191" s="19" t="inlineStr">
        <is>
          <t>已移送</t>
        </is>
      </c>
      <c r="B191" s="230" t="n"/>
      <c r="C191" s="230" t="n"/>
      <c r="D191" s="230" t="n"/>
      <c r="E191" s="230" t="n"/>
      <c r="F191" s="230" t="n"/>
      <c r="G191" s="230" t="n"/>
    </row>
    <row r="192" ht="30" customHeight="1">
      <c r="A192" s="19" t="inlineStr">
        <is>
          <t>簽結</t>
        </is>
      </c>
      <c r="B192" s="230" t="n"/>
      <c r="C192" s="230" t="n"/>
      <c r="D192" s="230" t="n"/>
      <c r="E192" s="230" t="n"/>
      <c r="F192" s="230" t="n"/>
      <c r="G192" s="230" t="n"/>
    </row>
    <row r="193" ht="10" customHeight="1">
      <c r="B193" s="230" t="n"/>
      <c r="C193" s="230" t="n"/>
      <c r="D193" s="230" t="n"/>
      <c r="E193" s="230" t="n"/>
      <c r="F193" s="230" t="n"/>
      <c r="G193" s="230" t="n"/>
    </row>
    <row r="194" ht="26" customHeight="1">
      <c r="A194" s="66" t="inlineStr">
        <is>
          <t xml:space="preserve">  📋 案件狀況清單（命名範圍：案件狀況清單）</t>
        </is>
      </c>
      <c r="B194" s="33" t="n"/>
      <c r="C194" s="33" t="n"/>
      <c r="D194" s="230" t="n"/>
      <c r="E194" s="230" t="n"/>
      <c r="F194" s="230" t="n"/>
      <c r="G194" s="230" t="n"/>
    </row>
    <row r="195" ht="30" customHeight="1">
      <c r="A195" s="19" t="inlineStr">
        <is>
          <t>尚未偵破</t>
        </is>
      </c>
      <c r="B195" s="230" t="n"/>
      <c r="C195" s="230" t="n"/>
      <c r="D195" s="230" t="n"/>
      <c r="E195" s="230" t="n"/>
      <c r="F195" s="230" t="n"/>
      <c r="G195" s="230" t="n"/>
    </row>
    <row r="196" ht="30" customHeight="1">
      <c r="A196" s="19" t="inlineStr">
        <is>
          <t>已破獲未移送</t>
        </is>
      </c>
      <c r="B196" s="230" t="n"/>
      <c r="C196" s="230" t="n"/>
      <c r="D196" s="230" t="n"/>
      <c r="E196" s="230" t="n"/>
      <c r="F196" s="230" t="n"/>
      <c r="G196" s="230" t="n"/>
    </row>
    <row r="197" ht="30" customHeight="1">
      <c r="A197" s="19" t="inlineStr">
        <is>
          <t>已移送</t>
        </is>
      </c>
      <c r="B197" s="230" t="n"/>
      <c r="C197" s="230" t="n"/>
      <c r="D197" s="230" t="n"/>
      <c r="E197" s="230" t="n"/>
      <c r="F197" s="230" t="n"/>
      <c r="G197" s="230" t="n"/>
    </row>
    <row r="198" ht="30" customHeight="1">
      <c r="A198" s="19" t="inlineStr">
        <is>
          <t>簽結</t>
        </is>
      </c>
      <c r="B198" s="230" t="n"/>
      <c r="C198" s="230" t="n"/>
      <c r="D198" s="230" t="n"/>
      <c r="E198" s="230" t="n"/>
      <c r="F198" s="230" t="n"/>
      <c r="G198" s="230" t="n"/>
    </row>
    <row r="199" ht="10" customHeight="1">
      <c r="B199" s="230" t="n"/>
      <c r="C199" s="230" t="n"/>
      <c r="D199" s="230" t="n"/>
      <c r="E199" s="230" t="n"/>
      <c r="F199" s="230" t="n"/>
      <c r="G199" s="230" t="n"/>
    </row>
    <row r="200" ht="26" customHeight="1">
      <c r="A200" s="66" t="inlineStr">
        <is>
          <t xml:space="preserve">  📋 發生管轄清單（命名範圍：發生管轄清單）</t>
        </is>
      </c>
      <c r="B200" s="33" t="n"/>
      <c r="C200" s="33" t="n"/>
      <c r="D200" s="230" t="n"/>
      <c r="E200" s="230" t="n"/>
      <c r="F200" s="230" t="n"/>
      <c r="G200" s="230" t="n"/>
    </row>
    <row r="201" ht="30" customHeight="1">
      <c r="A201" s="19" t="inlineStr">
        <is>
          <t>本轄</t>
        </is>
      </c>
      <c r="B201" s="230" t="n"/>
      <c r="C201" s="230" t="n"/>
      <c r="D201" s="230" t="n"/>
      <c r="E201" s="230" t="n"/>
      <c r="F201" s="230" t="n"/>
      <c r="G201" s="230" t="n"/>
    </row>
    <row r="202" ht="30" customHeight="1">
      <c r="A202" s="19" t="inlineStr">
        <is>
          <t>他轄</t>
        </is>
      </c>
      <c r="B202" s="230" t="n"/>
      <c r="C202" s="230" t="n"/>
      <c r="D202" s="230" t="n"/>
      <c r="E202" s="230" t="n"/>
      <c r="F202" s="230" t="n"/>
      <c r="G202" s="230" t="n"/>
    </row>
    <row r="203" ht="10" customHeight="1">
      <c r="B203" s="230" t="n"/>
      <c r="C203" s="230" t="n"/>
      <c r="D203" s="230" t="n"/>
      <c r="E203" s="230" t="n"/>
      <c r="F203" s="230" t="n"/>
      <c r="G203" s="230" t="n"/>
    </row>
    <row r="204" ht="26" customHeight="1">
      <c r="A204" s="66" t="inlineStr">
        <is>
          <t xml:space="preserve">  📋 查獲管轄清單（命名範圍：查獲管轄清單）</t>
        </is>
      </c>
      <c r="B204" s="33" t="n"/>
      <c r="C204" s="33" t="n"/>
      <c r="D204" s="230" t="n"/>
      <c r="E204" s="230" t="n"/>
      <c r="F204" s="230" t="n"/>
      <c r="G204" s="230" t="n"/>
    </row>
    <row r="205" ht="30" customHeight="1">
      <c r="A205" s="19" t="inlineStr">
        <is>
          <t>本轄</t>
        </is>
      </c>
      <c r="B205" s="230" t="n"/>
      <c r="C205" s="230" t="n"/>
      <c r="D205" s="230" t="n"/>
      <c r="E205" s="230" t="n"/>
      <c r="F205" s="230" t="n"/>
      <c r="G205" s="230" t="n"/>
    </row>
    <row r="206" ht="30" customHeight="1">
      <c r="A206" s="19" t="inlineStr">
        <is>
          <t>他轄</t>
        </is>
      </c>
      <c r="B206" s="230" t="n"/>
      <c r="C206" s="230" t="n"/>
      <c r="D206" s="230" t="n"/>
      <c r="E206" s="230" t="n"/>
      <c r="F206" s="230" t="n"/>
      <c r="G206" s="230" t="n"/>
    </row>
    <row r="207" ht="10" customHeight="1">
      <c r="B207" s="230" t="n"/>
      <c r="C207" s="230" t="n"/>
      <c r="D207" s="230" t="n"/>
      <c r="E207" s="230" t="n"/>
      <c r="F207" s="230" t="n"/>
      <c r="G207" s="230" t="n"/>
    </row>
    <row r="208" ht="26" customHeight="1">
      <c r="A208" s="66" t="inlineStr">
        <is>
          <t xml:space="preserve">  📋 性別清單（命名範圍：性別清單）</t>
        </is>
      </c>
      <c r="B208" s="33" t="n"/>
      <c r="C208" s="33" t="n"/>
      <c r="D208" s="230" t="n"/>
      <c r="E208" s="230" t="n"/>
      <c r="F208" s="230" t="n"/>
      <c r="G208" s="230" t="n"/>
    </row>
    <row r="209" ht="30" customHeight="1">
      <c r="A209" s="19" t="inlineStr">
        <is>
          <t>男</t>
        </is>
      </c>
      <c r="B209" s="230" t="n"/>
      <c r="C209" s="230" t="n"/>
      <c r="D209" s="230" t="n"/>
      <c r="E209" s="230" t="n"/>
      <c r="F209" s="230" t="n"/>
      <c r="G209" s="230" t="n"/>
    </row>
    <row r="210" ht="30" customHeight="1">
      <c r="A210" s="19" t="inlineStr">
        <is>
          <t>女</t>
        </is>
      </c>
      <c r="B210" s="230" t="n"/>
      <c r="C210" s="230" t="n"/>
      <c r="D210" s="230" t="n"/>
      <c r="E210" s="230" t="n"/>
      <c r="F210" s="230" t="n"/>
      <c r="G210" s="230" t="n"/>
    </row>
    <row r="211" ht="10" customHeight="1">
      <c r="B211" s="230" t="n"/>
      <c r="C211" s="230" t="n"/>
      <c r="D211" s="230" t="n"/>
      <c r="E211" s="230" t="n"/>
      <c r="F211" s="230" t="n"/>
      <c r="G211" s="230" t="n"/>
    </row>
    <row r="212" ht="26" customHeight="1">
      <c r="A212" s="66" t="inlineStr">
        <is>
          <t xml:space="preserve">  📋 通緝清單（命名範圍：通緝清單）</t>
        </is>
      </c>
      <c r="B212" s="33" t="n"/>
      <c r="C212" s="33" t="n"/>
      <c r="D212" s="230" t="n"/>
      <c r="E212" s="230" t="n"/>
      <c r="F212" s="230" t="n"/>
      <c r="G212" s="230" t="n"/>
    </row>
    <row r="213" ht="30" customHeight="1">
      <c r="A213" s="19" t="inlineStr">
        <is>
          <t>是</t>
        </is>
      </c>
      <c r="B213" s="230" t="n"/>
      <c r="C213" s="230" t="n"/>
      <c r="D213" s="230" t="n"/>
      <c r="E213" s="230" t="n"/>
      <c r="F213" s="230" t="n"/>
      <c r="G213" s="230" t="n"/>
    </row>
    <row r="214" ht="30" customHeight="1">
      <c r="A214" s="19" t="inlineStr">
        <is>
          <t>否</t>
        </is>
      </c>
      <c r="B214" s="230" t="n"/>
      <c r="C214" s="230" t="n"/>
      <c r="D214" s="230" t="n"/>
      <c r="E214" s="230" t="n"/>
      <c r="F214" s="230" t="n"/>
      <c r="G214" s="230" t="n"/>
    </row>
    <row r="215" ht="10" customHeight="1">
      <c r="B215" s="230" t="n"/>
      <c r="C215" s="230" t="n"/>
      <c r="D215" s="230" t="n"/>
      <c r="E215" s="230" t="n"/>
      <c r="F215" s="230" t="n"/>
      <c r="G215" s="230" t="n"/>
    </row>
    <row r="216" ht="26" customHeight="1">
      <c r="A216" s="66" t="inlineStr">
        <is>
          <t xml:space="preserve">  📋 毒品管制情形清單（命名範圍：毒品管制情形清單）</t>
        </is>
      </c>
      <c r="B216" s="33" t="n"/>
      <c r="C216" s="33" t="n"/>
      <c r="D216" s="230" t="n"/>
      <c r="E216" s="230" t="n"/>
      <c r="F216" s="230" t="n"/>
      <c r="G216" s="230" t="n"/>
    </row>
    <row r="217" ht="30" customHeight="1">
      <c r="A217" s="19" t="inlineStr">
        <is>
          <t>已到驗</t>
        </is>
      </c>
      <c r="B217" s="230" t="n"/>
      <c r="C217" s="230" t="n"/>
      <c r="D217" s="230" t="n"/>
      <c r="E217" s="230" t="n"/>
      <c r="F217" s="230" t="n"/>
      <c r="G217" s="230" t="n"/>
    </row>
    <row r="218" ht="30" customHeight="1">
      <c r="A218" s="19" t="inlineStr">
        <is>
          <t>未到驗</t>
        </is>
      </c>
      <c r="B218" s="230" t="n"/>
      <c r="C218" s="230" t="n"/>
      <c r="D218" s="230" t="n"/>
      <c r="E218" s="230" t="n"/>
      <c r="F218" s="230" t="n"/>
      <c r="G218" s="230" t="n"/>
    </row>
    <row r="219" ht="30" customHeight="1">
      <c r="A219" s="19" t="inlineStr">
        <is>
          <t>已聲強採</t>
        </is>
      </c>
      <c r="B219" s="230" t="n"/>
      <c r="C219" s="230" t="n"/>
      <c r="D219" s="230" t="n"/>
      <c r="E219" s="230" t="n"/>
      <c r="F219" s="230" t="n"/>
      <c r="G219" s="230" t="n"/>
    </row>
    <row r="220" ht="30" customHeight="1">
      <c r="A220" s="19" t="inlineStr">
        <is>
          <t>通緝中</t>
        </is>
      </c>
      <c r="B220" s="230" t="n"/>
      <c r="C220" s="230" t="n"/>
      <c r="D220" s="230" t="n"/>
      <c r="E220" s="230" t="n"/>
      <c r="F220" s="230" t="n"/>
      <c r="G220" s="230" t="n"/>
    </row>
    <row r="221" ht="30" customHeight="1">
      <c r="A221" s="19" t="inlineStr">
        <is>
          <t>在監</t>
        </is>
      </c>
      <c r="B221" s="230" t="n"/>
      <c r="C221" s="230" t="n"/>
      <c r="D221" s="230" t="n"/>
      <c r="E221" s="230" t="n"/>
      <c r="F221" s="230" t="n"/>
      <c r="G221" s="230" t="n"/>
    </row>
    <row r="222" ht="30" customHeight="1">
      <c r="A222" s="19" t="inlineStr">
        <is>
          <t>解除列管</t>
        </is>
      </c>
      <c r="B222" s="230" t="n"/>
      <c r="C222" s="230" t="n"/>
      <c r="D222" s="230" t="n"/>
      <c r="E222" s="230" t="n"/>
      <c r="F222" s="230" t="n"/>
      <c r="G222" s="230" t="n"/>
    </row>
    <row r="223" ht="10" customHeight="1">
      <c r="B223" s="230" t="n"/>
      <c r="C223" s="230" t="n"/>
      <c r="D223" s="230" t="n"/>
      <c r="E223" s="230" t="n"/>
      <c r="F223" s="230" t="n"/>
      <c r="G223" s="230" t="n"/>
    </row>
    <row r="224" ht="26" customHeight="1">
      <c r="A224" s="66" t="inlineStr">
        <is>
          <t xml:space="preserve">  📋 發展中進度清單（命名範圍：發展中進度清單）</t>
        </is>
      </c>
      <c r="B224" s="33" t="n"/>
      <c r="C224" s="33" t="n"/>
      <c r="D224" s="230" t="n"/>
      <c r="E224" s="230" t="n"/>
      <c r="F224" s="230" t="n"/>
      <c r="G224" s="230" t="n"/>
    </row>
    <row r="225" ht="30" customHeight="1">
      <c r="A225" s="19" t="inlineStr">
        <is>
          <t>偵辦中</t>
        </is>
      </c>
      <c r="B225" s="230" t="n"/>
      <c r="C225" s="230" t="n"/>
      <c r="D225" s="230" t="n"/>
      <c r="E225" s="230" t="n"/>
      <c r="F225" s="230" t="n"/>
      <c r="G225" s="230" t="n"/>
    </row>
    <row r="226" ht="30" customHeight="1">
      <c r="A226" s="19" t="inlineStr">
        <is>
          <t>已成熟</t>
        </is>
      </c>
      <c r="B226" s="230" t="n"/>
      <c r="C226" s="230" t="n"/>
      <c r="D226" s="230" t="n"/>
      <c r="E226" s="230" t="n"/>
      <c r="F226" s="230" t="n"/>
      <c r="G226" s="230" t="n"/>
    </row>
    <row r="227" ht="30" customHeight="1">
      <c r="A227" s="19" t="inlineStr">
        <is>
          <t>簽結</t>
        </is>
      </c>
      <c r="B227" s="230" t="n"/>
      <c r="C227" s="230" t="n"/>
      <c r="D227" s="230" t="n"/>
      <c r="E227" s="230" t="n"/>
      <c r="F227" s="230" t="n"/>
      <c r="G227" s="230" t="n"/>
    </row>
    <row r="228" ht="10" customHeight="1">
      <c r="B228" s="230" t="n"/>
      <c r="C228" s="230" t="n"/>
      <c r="D228" s="230" t="n"/>
      <c r="E228" s="230" t="n"/>
      <c r="F228" s="230" t="n"/>
      <c r="G228" s="230" t="n"/>
    </row>
    <row r="229" ht="26" customHeight="1">
      <c r="A229" s="66" t="inlineStr">
        <is>
          <t xml:space="preserve">  📋 是否在職清單（命名範圍：是否在職清單）</t>
        </is>
      </c>
      <c r="B229" s="33" t="n"/>
      <c r="C229" s="33" t="n"/>
      <c r="D229" s="230" t="n"/>
      <c r="E229" s="230" t="n"/>
      <c r="F229" s="230" t="n"/>
      <c r="G229" s="230" t="n"/>
    </row>
    <row r="230" ht="30" customHeight="1">
      <c r="A230" s="19" t="inlineStr">
        <is>
          <t>是</t>
        </is>
      </c>
      <c r="B230" s="230" t="n"/>
      <c r="C230" s="230" t="n"/>
      <c r="D230" s="230" t="n"/>
      <c r="E230" s="230" t="n"/>
      <c r="F230" s="230" t="n"/>
      <c r="G230" s="230" t="n"/>
    </row>
    <row r="231" ht="30" customHeight="1">
      <c r="A231" s="19" t="inlineStr">
        <is>
          <t>否</t>
        </is>
      </c>
      <c r="B231" s="230" t="n"/>
      <c r="C231" s="230" t="n"/>
      <c r="D231" s="230" t="n"/>
      <c r="E231" s="230" t="n"/>
      <c r="F231" s="230" t="n"/>
      <c r="G231" s="230" t="n"/>
    </row>
    <row r="232" ht="10" customHeight="1">
      <c r="B232" s="230" t="n"/>
      <c r="C232" s="230" t="n"/>
      <c r="D232" s="230" t="n"/>
      <c r="E232" s="230" t="n"/>
      <c r="F232" s="230" t="n"/>
      <c r="G232" s="230" t="n"/>
    </row>
    <row r="233" ht="26" customHeight="1">
      <c r="A233" s="66" t="inlineStr">
        <is>
          <t xml:space="preserve">  📋 績效類別清單（命名範圍：績效類別清單）</t>
        </is>
      </c>
      <c r="B233" s="33" t="n"/>
      <c r="C233" s="33" t="n"/>
      <c r="D233" s="230" t="n"/>
      <c r="E233" s="230" t="n"/>
      <c r="F233" s="230" t="n"/>
      <c r="G233" s="230" t="n"/>
    </row>
    <row r="234" ht="30" customHeight="1">
      <c r="A234" s="19" t="inlineStr">
        <is>
          <t>毒品線上</t>
        </is>
      </c>
      <c r="B234" s="230" t="n"/>
      <c r="C234" s="230" t="n"/>
      <c r="D234" s="230" t="n"/>
      <c r="E234" s="230" t="n"/>
      <c r="F234" s="230" t="n"/>
      <c r="G234" s="230" t="n"/>
    </row>
    <row r="235" ht="30" customHeight="1">
      <c r="A235" s="19" t="inlineStr">
        <is>
          <t>酒駕線上</t>
        </is>
      </c>
      <c r="B235" s="230" t="n"/>
      <c r="C235" s="230" t="n"/>
      <c r="D235" s="230" t="n"/>
      <c r="E235" s="230" t="n"/>
      <c r="F235" s="230" t="n"/>
      <c r="G235" s="230" t="n"/>
    </row>
    <row r="236" ht="30" customHeight="1">
      <c r="A236" s="19" t="inlineStr">
        <is>
          <t>其他線上</t>
        </is>
      </c>
      <c r="B236" s="230" t="n"/>
      <c r="C236" s="230" t="n"/>
      <c r="D236" s="230" t="n"/>
      <c r="E236" s="230" t="n"/>
      <c r="F236" s="230" t="n"/>
      <c r="G236" s="230" t="n"/>
    </row>
    <row r="237" ht="10" customHeight="1">
      <c r="B237" s="230" t="n"/>
      <c r="C237" s="230" t="n"/>
      <c r="D237" s="230" t="n"/>
      <c r="E237" s="230" t="n"/>
      <c r="F237" s="230" t="n"/>
      <c r="G237" s="230" t="n"/>
    </row>
    <row r="238" ht="26" customHeight="1">
      <c r="A238" s="66" t="inlineStr">
        <is>
          <t xml:space="preserve">  📋 線索來源清單（命名範圍：線索來源清單）</t>
        </is>
      </c>
      <c r="B238" s="33" t="n"/>
      <c r="C238" s="33" t="n"/>
      <c r="D238" s="230" t="n"/>
      <c r="E238" s="230" t="n"/>
      <c r="F238" s="230" t="n"/>
      <c r="G238" s="230" t="n"/>
    </row>
    <row r="239" ht="30" customHeight="1">
      <c r="A239" s="19" t="inlineStr">
        <is>
          <t>民眾報案</t>
        </is>
      </c>
      <c r="B239" s="230" t="n"/>
      <c r="C239" s="230" t="n"/>
      <c r="D239" s="230" t="n"/>
      <c r="E239" s="230" t="n"/>
      <c r="F239" s="230" t="n"/>
      <c r="G239" s="230" t="n"/>
    </row>
    <row r="240" ht="30" customHeight="1">
      <c r="A240" s="19" t="inlineStr">
        <is>
          <t>巡邏發現</t>
        </is>
      </c>
      <c r="B240" s="230" t="n"/>
      <c r="C240" s="230" t="n"/>
      <c r="D240" s="230" t="n"/>
      <c r="E240" s="230" t="n"/>
      <c r="F240" s="230" t="n"/>
      <c r="G240" s="230" t="n"/>
    </row>
    <row r="241" ht="30" customHeight="1">
      <c r="A241" s="19" t="inlineStr">
        <is>
          <t>同仁通報</t>
        </is>
      </c>
      <c r="B241" s="230" t="n"/>
      <c r="C241" s="230" t="n"/>
      <c r="D241" s="230" t="n"/>
      <c r="E241" s="230" t="n"/>
      <c r="F241" s="230" t="n"/>
      <c r="G241" s="230" t="n"/>
    </row>
    <row r="242" ht="30" customHeight="1">
      <c r="A242" s="19" t="inlineStr">
        <is>
          <t>上級交辦</t>
        </is>
      </c>
      <c r="B242" s="230" t="n"/>
      <c r="C242" s="230" t="n"/>
      <c r="D242" s="230" t="n"/>
      <c r="E242" s="230" t="n"/>
      <c r="F242" s="230" t="n"/>
      <c r="G242" s="230" t="n"/>
    </row>
    <row r="243" ht="30" customHeight="1">
      <c r="A243" s="19" t="inlineStr">
        <is>
          <t>媒體</t>
        </is>
      </c>
      <c r="B243" s="230" t="n"/>
      <c r="C243" s="230" t="n"/>
      <c r="D243" s="230" t="n"/>
      <c r="E243" s="230" t="n"/>
      <c r="F243" s="230" t="n"/>
      <c r="G243" s="230" t="n"/>
    </row>
    <row r="244" ht="30" customHeight="1">
      <c r="A244" s="19" t="inlineStr">
        <is>
          <t>其他</t>
        </is>
      </c>
      <c r="B244" s="230" t="n"/>
      <c r="C244" s="230" t="n"/>
      <c r="D244" s="230" t="n"/>
      <c r="E244" s="230" t="n"/>
      <c r="F244" s="230" t="n"/>
      <c r="G244" s="230" t="n"/>
    </row>
    <row r="245" ht="10" customHeight="1">
      <c r="B245" s="230" t="n"/>
      <c r="C245" s="230" t="n"/>
      <c r="D245" s="230" t="n"/>
      <c r="E245" s="230" t="n"/>
      <c r="F245" s="230" t="n"/>
      <c r="G245" s="230" t="n"/>
    </row>
    <row r="246" ht="26" customHeight="1">
      <c r="A246" s="66" t="inlineStr">
        <is>
          <t xml:space="preserve">  📋 重大性清單（命名範圍：重大性清單）</t>
        </is>
      </c>
      <c r="B246" s="33" t="n"/>
      <c r="C246" s="33" t="n"/>
      <c r="D246" s="230" t="n"/>
      <c r="E246" s="230" t="n"/>
      <c r="F246" s="230" t="n"/>
      <c r="G246" s="230" t="n"/>
    </row>
    <row r="247" ht="30" customHeight="1">
      <c r="A247" s="19" t="inlineStr">
        <is>
          <t>高</t>
        </is>
      </c>
      <c r="B247" s="230" t="n"/>
      <c r="C247" s="230" t="n"/>
      <c r="D247" s="230" t="n"/>
      <c r="E247" s="230" t="n"/>
      <c r="F247" s="230" t="n"/>
      <c r="G247" s="230" t="n"/>
    </row>
    <row r="248" ht="30" customHeight="1">
      <c r="A248" s="19" t="inlineStr">
        <is>
          <t>中</t>
        </is>
      </c>
      <c r="B248" s="230" t="n"/>
      <c r="C248" s="230" t="n"/>
      <c r="D248" s="230" t="n"/>
      <c r="E248" s="230" t="n"/>
      <c r="F248" s="230" t="n"/>
      <c r="G248" s="230" t="n"/>
    </row>
    <row r="249" ht="30" customHeight="1">
      <c r="A249" s="19" t="inlineStr">
        <is>
          <t>低</t>
        </is>
      </c>
      <c r="B249" s="230" t="n"/>
      <c r="C249" s="230" t="n"/>
      <c r="D249" s="230" t="n"/>
      <c r="E249" s="230" t="n"/>
      <c r="F249" s="230" t="n"/>
      <c r="G249" s="230" t="n"/>
    </row>
    <row r="250" ht="10" customHeight="1">
      <c r="B250" s="230" t="n"/>
      <c r="C250" s="230" t="n"/>
      <c r="D250" s="230" t="n"/>
      <c r="E250" s="230" t="n"/>
      <c r="F250" s="230" t="n"/>
      <c r="G250" s="230" t="n"/>
    </row>
    <row r="251">
      <c r="B251" s="230" t="n"/>
      <c r="C251" s="230" t="n"/>
      <c r="D251" s="230" t="n"/>
      <c r="E251" s="230" t="n"/>
      <c r="F251" s="230" t="n"/>
      <c r="G251" s="230" t="n"/>
    </row>
    <row r="252">
      <c r="B252" s="230" t="n"/>
      <c r="C252" s="230" t="n"/>
      <c r="D252" s="230" t="n"/>
      <c r="E252" s="230" t="n"/>
      <c r="F252" s="230" t="n"/>
      <c r="G252" s="230" t="n"/>
    </row>
    <row r="253">
      <c r="B253" s="230" t="n"/>
      <c r="C253" s="230" t="n"/>
      <c r="D253" s="230" t="n"/>
      <c r="E253" s="230" t="n"/>
      <c r="F253" s="230" t="n"/>
      <c r="G253" s="230" t="n"/>
    </row>
    <row r="254">
      <c r="B254" s="230" t="n"/>
      <c r="C254" s="230" t="n"/>
      <c r="D254" s="230" t="n"/>
      <c r="E254" s="230" t="n"/>
      <c r="F254" s="230" t="n"/>
      <c r="G254" s="230" t="n"/>
    </row>
    <row r="255">
      <c r="B255" s="230" t="n"/>
      <c r="C255" s="230" t="n"/>
      <c r="D255" s="230" t="n"/>
      <c r="E255" s="230" t="n"/>
      <c r="F255" s="230" t="n"/>
      <c r="G255" s="230" t="n"/>
    </row>
    <row r="256">
      <c r="B256" s="230" t="n"/>
      <c r="C256" s="230" t="n"/>
      <c r="D256" s="230" t="n"/>
      <c r="E256" s="230" t="n"/>
      <c r="F256" s="230" t="n"/>
      <c r="G256" s="230" t="n"/>
    </row>
    <row r="257">
      <c r="B257" s="230" t="n"/>
      <c r="C257" s="230" t="n"/>
      <c r="D257" s="230" t="n"/>
      <c r="E257" s="230" t="n"/>
      <c r="F257" s="230" t="n"/>
      <c r="G257" s="230" t="n"/>
    </row>
    <row r="258">
      <c r="B258" s="230" t="n"/>
      <c r="C258" s="230" t="n"/>
      <c r="D258" s="230" t="n"/>
      <c r="E258" s="230" t="n"/>
      <c r="F258" s="230" t="n"/>
      <c r="G258" s="230" t="n"/>
    </row>
    <row r="259">
      <c r="B259" s="230" t="n"/>
      <c r="C259" s="230" t="n"/>
      <c r="D259" s="230" t="n"/>
      <c r="E259" s="230" t="n"/>
      <c r="F259" s="230" t="n"/>
      <c r="G259" s="230" t="n"/>
    </row>
    <row r="260">
      <c r="B260" s="230" t="n"/>
      <c r="C260" s="230" t="n"/>
      <c r="D260" s="230" t="n"/>
      <c r="E260" s="230" t="n"/>
      <c r="F260" s="230" t="n"/>
      <c r="G260" s="230" t="n"/>
    </row>
    <row r="261">
      <c r="B261" s="230" t="n"/>
      <c r="C261" s="230" t="n"/>
      <c r="D261" s="230" t="n"/>
      <c r="E261" s="230" t="n"/>
      <c r="F261" s="230" t="n"/>
      <c r="G261" s="230" t="n"/>
    </row>
    <row r="262">
      <c r="B262" s="230" t="n"/>
      <c r="C262" s="230" t="n"/>
      <c r="D262" s="230" t="n"/>
      <c r="E262" s="230" t="n"/>
      <c r="F262" s="230" t="n"/>
      <c r="G262" s="230" t="n"/>
    </row>
    <row r="263">
      <c r="B263" s="230" t="n"/>
      <c r="C263" s="230" t="n"/>
      <c r="D263" s="230" t="n"/>
      <c r="E263" s="230" t="n"/>
      <c r="F263" s="230" t="n"/>
      <c r="G263" s="230" t="n"/>
    </row>
    <row r="264">
      <c r="B264" s="230" t="n"/>
      <c r="C264" s="230" t="n"/>
      <c r="D264" s="230" t="n"/>
      <c r="E264" s="230" t="n"/>
      <c r="F264" s="230" t="n"/>
      <c r="G264" s="230" t="n"/>
    </row>
    <row r="265">
      <c r="B265" s="230" t="n"/>
      <c r="C265" s="230" t="n"/>
      <c r="D265" s="230" t="n"/>
      <c r="E265" s="230" t="n"/>
      <c r="F265" s="230" t="n"/>
      <c r="G265" s="230" t="n"/>
    </row>
    <row r="266">
      <c r="B266" s="230" t="n"/>
      <c r="C266" s="230" t="n"/>
      <c r="D266" s="230" t="n"/>
      <c r="E266" s="230" t="n"/>
      <c r="F266" s="230" t="n"/>
      <c r="G266" s="230" t="n"/>
    </row>
    <row r="267">
      <c r="B267" s="230" t="n"/>
      <c r="C267" s="230" t="n"/>
      <c r="D267" s="230" t="n"/>
      <c r="E267" s="230" t="n"/>
      <c r="F267" s="230" t="n"/>
      <c r="G267" s="230" t="n"/>
    </row>
    <row r="268">
      <c r="B268" s="230" t="n"/>
      <c r="C268" s="230" t="n"/>
      <c r="D268" s="230" t="n"/>
      <c r="E268" s="230" t="n"/>
      <c r="F268" s="230" t="n"/>
      <c r="G268" s="230" t="n"/>
    </row>
    <row r="269">
      <c r="B269" s="230" t="n"/>
      <c r="C269" s="230" t="n"/>
      <c r="D269" s="230" t="n"/>
      <c r="E269" s="230" t="n"/>
      <c r="F269" s="230" t="n"/>
      <c r="G269" s="230" t="n"/>
    </row>
    <row r="270">
      <c r="B270" s="230" t="n"/>
      <c r="C270" s="230" t="n"/>
      <c r="D270" s="230" t="n"/>
      <c r="E270" s="230" t="n"/>
      <c r="F270" s="230" t="n"/>
      <c r="G270" s="230" t="n"/>
    </row>
    <row r="271">
      <c r="B271" s="230" t="n"/>
      <c r="C271" s="230" t="n"/>
      <c r="D271" s="230" t="n"/>
      <c r="E271" s="230" t="n"/>
      <c r="F271" s="230" t="n"/>
      <c r="G271" s="230" t="n"/>
    </row>
    <row r="272">
      <c r="B272" s="230" t="n"/>
      <c r="C272" s="230" t="n"/>
      <c r="D272" s="230" t="n"/>
      <c r="E272" s="230" t="n"/>
      <c r="F272" s="230" t="n"/>
      <c r="G272" s="230" t="n"/>
    </row>
    <row r="273">
      <c r="B273" s="230" t="n"/>
      <c r="C273" s="230" t="n"/>
      <c r="D273" s="230" t="n"/>
      <c r="E273" s="230" t="n"/>
      <c r="F273" s="230" t="n"/>
      <c r="G273" s="230" t="n"/>
    </row>
    <row r="274">
      <c r="B274" s="230" t="n"/>
      <c r="C274" s="230" t="n"/>
      <c r="D274" s="230" t="n"/>
      <c r="E274" s="230" t="n"/>
      <c r="F274" s="230" t="n"/>
      <c r="G274" s="230" t="n"/>
    </row>
    <row r="275">
      <c r="B275" s="230" t="n"/>
      <c r="C275" s="230" t="n"/>
      <c r="D275" s="230" t="n"/>
      <c r="E275" s="230" t="n"/>
      <c r="F275" s="230" t="n"/>
      <c r="G275" s="230" t="n"/>
    </row>
    <row r="276">
      <c r="B276" s="230" t="n"/>
      <c r="C276" s="230" t="n"/>
      <c r="D276" s="230" t="n"/>
      <c r="E276" s="230" t="n"/>
      <c r="F276" s="230" t="n"/>
      <c r="G276" s="230" t="n"/>
    </row>
    <row r="277">
      <c r="B277" s="230" t="n"/>
      <c r="C277" s="230" t="n"/>
      <c r="D277" s="230" t="n"/>
      <c r="E277" s="230" t="n"/>
      <c r="F277" s="230" t="n"/>
      <c r="G277" s="230" t="n"/>
    </row>
    <row r="278">
      <c r="B278" s="230" t="n"/>
      <c r="C278" s="230" t="n"/>
      <c r="D278" s="230" t="n"/>
      <c r="E278" s="230" t="n"/>
      <c r="F278" s="230" t="n"/>
      <c r="G278" s="230" t="n"/>
    </row>
    <row r="279">
      <c r="B279" s="230" t="n"/>
      <c r="C279" s="230" t="n"/>
      <c r="D279" s="230" t="n"/>
      <c r="E279" s="230" t="n"/>
      <c r="F279" s="230" t="n"/>
      <c r="G279" s="230" t="n"/>
    </row>
    <row r="280">
      <c r="B280" s="230" t="n"/>
      <c r="C280" s="230" t="n"/>
      <c r="D280" s="230" t="n"/>
      <c r="E280" s="230" t="n"/>
      <c r="F280" s="230" t="n"/>
      <c r="G280" s="230" t="n"/>
    </row>
    <row r="281">
      <c r="B281" s="230" t="n"/>
      <c r="C281" s="230" t="n"/>
      <c r="D281" s="230" t="n"/>
      <c r="E281" s="230" t="n"/>
      <c r="F281" s="230" t="n"/>
      <c r="G281" s="230" t="n"/>
    </row>
    <row r="282">
      <c r="B282" s="230" t="n"/>
      <c r="C282" s="230" t="n"/>
      <c r="D282" s="230" t="n"/>
      <c r="E282" s="230" t="n"/>
      <c r="F282" s="230" t="n"/>
      <c r="G282" s="230" t="n"/>
    </row>
    <row r="283">
      <c r="B283" s="230" t="n"/>
      <c r="C283" s="230" t="n"/>
      <c r="D283" s="230" t="n"/>
      <c r="E283" s="230" t="n"/>
      <c r="F283" s="230" t="n"/>
      <c r="G283" s="230" t="n"/>
    </row>
    <row r="284">
      <c r="B284" s="230" t="n"/>
      <c r="C284" s="230" t="n"/>
      <c r="D284" s="230" t="n"/>
      <c r="E284" s="230" t="n"/>
      <c r="F284" s="230" t="n"/>
      <c r="G284" s="230" t="n"/>
    </row>
    <row r="285">
      <c r="B285" s="230" t="n"/>
      <c r="C285" s="230" t="n"/>
      <c r="D285" s="230" t="n"/>
      <c r="E285" s="230" t="n"/>
      <c r="F285" s="230" t="n"/>
      <c r="G285" s="230" t="n"/>
    </row>
    <row r="286">
      <c r="B286" s="230" t="n"/>
      <c r="C286" s="230" t="n"/>
      <c r="D286" s="230" t="n"/>
      <c r="E286" s="230" t="n"/>
      <c r="F286" s="230" t="n"/>
      <c r="G286" s="230" t="n"/>
    </row>
    <row r="287">
      <c r="B287" s="230" t="n"/>
      <c r="C287" s="230" t="n"/>
      <c r="D287" s="230" t="n"/>
      <c r="E287" s="230" t="n"/>
      <c r="F287" s="230" t="n"/>
      <c r="G287" s="230" t="n"/>
    </row>
    <row r="288">
      <c r="B288" s="230" t="n"/>
      <c r="C288" s="230" t="n"/>
      <c r="D288" s="230" t="n"/>
      <c r="E288" s="230" t="n"/>
      <c r="F288" s="230" t="n"/>
      <c r="G288" s="230" t="n"/>
    </row>
    <row r="289">
      <c r="B289" s="230" t="n"/>
      <c r="C289" s="230" t="n"/>
      <c r="D289" s="230" t="n"/>
      <c r="E289" s="230" t="n"/>
      <c r="F289" s="230" t="n"/>
      <c r="G289" s="230" t="n"/>
    </row>
    <row r="290">
      <c r="B290" s="230" t="n"/>
      <c r="C290" s="230" t="n"/>
      <c r="D290" s="230" t="n"/>
      <c r="E290" s="230" t="n"/>
      <c r="F290" s="230" t="n"/>
      <c r="G290" s="230" t="n"/>
    </row>
    <row r="291">
      <c r="B291" s="230" t="n"/>
      <c r="C291" s="230" t="n"/>
      <c r="D291" s="230" t="n"/>
      <c r="E291" s="230" t="n"/>
      <c r="F291" s="230" t="n"/>
      <c r="G291" s="230" t="n"/>
    </row>
    <row r="292">
      <c r="B292" s="230" t="n"/>
      <c r="C292" s="230" t="n"/>
      <c r="D292" s="230" t="n"/>
      <c r="E292" s="230" t="n"/>
      <c r="F292" s="230" t="n"/>
      <c r="G292" s="230" t="n"/>
    </row>
    <row r="293">
      <c r="B293" s="230" t="n"/>
      <c r="C293" s="230" t="n"/>
      <c r="D293" s="230" t="n"/>
      <c r="E293" s="230" t="n"/>
      <c r="F293" s="230" t="n"/>
      <c r="G293" s="230" t="n"/>
    </row>
    <row r="294">
      <c r="B294" s="230" t="n"/>
      <c r="C294" s="230" t="n"/>
      <c r="D294" s="230" t="n"/>
      <c r="E294" s="230" t="n"/>
      <c r="F294" s="230" t="n"/>
      <c r="G294" s="230" t="n"/>
    </row>
    <row r="295">
      <c r="B295" s="230" t="n"/>
      <c r="C295" s="230" t="n"/>
      <c r="D295" s="230" t="n"/>
      <c r="E295" s="230" t="n"/>
      <c r="F295" s="230" t="n"/>
      <c r="G295" s="230" t="n"/>
    </row>
    <row r="296">
      <c r="B296" s="230" t="n"/>
      <c r="C296" s="230" t="n"/>
      <c r="D296" s="230" t="n"/>
      <c r="E296" s="230" t="n"/>
      <c r="F296" s="230" t="n"/>
      <c r="G296" s="230" t="n"/>
    </row>
    <row r="297">
      <c r="B297" s="230" t="n"/>
      <c r="C297" s="230" t="n"/>
      <c r="D297" s="230" t="n"/>
      <c r="E297" s="230" t="n"/>
      <c r="F297" s="230" t="n"/>
      <c r="G297" s="230" t="n"/>
    </row>
    <row r="298">
      <c r="B298" s="230" t="n"/>
      <c r="C298" s="230" t="n"/>
      <c r="D298" s="230" t="n"/>
      <c r="E298" s="230" t="n"/>
      <c r="F298" s="230" t="n"/>
      <c r="G298" s="230" t="n"/>
    </row>
    <row r="299">
      <c r="B299" s="230" t="n"/>
      <c r="C299" s="230" t="n"/>
      <c r="D299" s="230" t="n"/>
      <c r="E299" s="230" t="n"/>
      <c r="F299" s="230" t="n"/>
      <c r="G299" s="230" t="n"/>
    </row>
    <row r="300">
      <c r="B300" s="230" t="n"/>
      <c r="C300" s="230" t="n"/>
      <c r="D300" s="230" t="n"/>
      <c r="E300" s="230" t="n"/>
      <c r="F300" s="230" t="n"/>
      <c r="G300" s="230" t="n"/>
    </row>
    <row r="301">
      <c r="B301" s="230" t="n"/>
      <c r="C301" s="230" t="n"/>
      <c r="D301" s="230" t="n"/>
      <c r="E301" s="230" t="n"/>
      <c r="F301" s="230" t="n"/>
      <c r="G301" s="230" t="n"/>
    </row>
    <row r="302">
      <c r="B302" s="230" t="n"/>
      <c r="C302" s="230" t="n"/>
      <c r="D302" s="230" t="n"/>
      <c r="E302" s="230" t="n"/>
      <c r="F302" s="230" t="n"/>
      <c r="G302" s="230" t="n"/>
    </row>
    <row r="303">
      <c r="B303" s="230" t="n"/>
      <c r="C303" s="230" t="n"/>
      <c r="D303" s="230" t="n"/>
      <c r="E303" s="230" t="n"/>
      <c r="F303" s="230" t="n"/>
      <c r="G303" s="230" t="n"/>
    </row>
    <row r="304">
      <c r="B304" s="230" t="n"/>
      <c r="C304" s="230" t="n"/>
      <c r="D304" s="230" t="n"/>
      <c r="E304" s="230" t="n"/>
      <c r="F304" s="230" t="n"/>
      <c r="G304" s="230" t="n"/>
    </row>
    <row r="305">
      <c r="B305" s="230" t="n"/>
      <c r="C305" s="230" t="n"/>
      <c r="D305" s="230" t="n"/>
      <c r="E305" s="230" t="n"/>
      <c r="F305" s="230" t="n"/>
      <c r="G305" s="230" t="n"/>
    </row>
    <row r="306">
      <c r="B306" s="230" t="n"/>
      <c r="C306" s="230" t="n"/>
      <c r="D306" s="230" t="n"/>
      <c r="E306" s="230" t="n"/>
      <c r="F306" s="230" t="n"/>
      <c r="G306" s="230" t="n"/>
    </row>
    <row r="307">
      <c r="B307" s="230" t="n"/>
      <c r="C307" s="230" t="n"/>
      <c r="D307" s="230" t="n"/>
      <c r="E307" s="230" t="n"/>
      <c r="F307" s="230" t="n"/>
      <c r="G307" s="230" t="n"/>
    </row>
    <row r="308">
      <c r="B308" s="230" t="n"/>
      <c r="C308" s="230" t="n"/>
      <c r="D308" s="230" t="n"/>
      <c r="E308" s="230" t="n"/>
      <c r="F308" s="230" t="n"/>
      <c r="G308" s="230" t="n"/>
    </row>
    <row r="309">
      <c r="B309" s="230" t="n"/>
      <c r="C309" s="230" t="n"/>
      <c r="D309" s="230" t="n"/>
      <c r="E309" s="230" t="n"/>
      <c r="F309" s="230" t="n"/>
      <c r="G309" s="230" t="n"/>
    </row>
    <row r="310">
      <c r="B310" s="230" t="n"/>
      <c r="C310" s="230" t="n"/>
      <c r="D310" s="230" t="n"/>
      <c r="E310" s="230" t="n"/>
      <c r="F310" s="230" t="n"/>
      <c r="G310" s="230" t="n"/>
    </row>
    <row r="311">
      <c r="B311" s="230" t="n"/>
      <c r="C311" s="230" t="n"/>
      <c r="D311" s="230" t="n"/>
      <c r="E311" s="230" t="n"/>
      <c r="F311" s="230" t="n"/>
      <c r="G311" s="230" t="n"/>
    </row>
    <row r="312">
      <c r="B312" s="230" t="n"/>
      <c r="C312" s="230" t="n"/>
      <c r="D312" s="230" t="n"/>
      <c r="E312" s="230" t="n"/>
      <c r="F312" s="230" t="n"/>
      <c r="G312" s="230" t="n"/>
    </row>
    <row r="313">
      <c r="B313" s="230" t="n"/>
      <c r="C313" s="230" t="n"/>
      <c r="D313" s="230" t="n"/>
      <c r="E313" s="230" t="n"/>
      <c r="F313" s="230" t="n"/>
      <c r="G313" s="230" t="n"/>
    </row>
    <row r="314">
      <c r="B314" s="230" t="n"/>
      <c r="C314" s="230" t="n"/>
      <c r="D314" s="230" t="n"/>
      <c r="E314" s="230" t="n"/>
      <c r="F314" s="230" t="n"/>
      <c r="G314" s="230" t="n"/>
    </row>
    <row r="315">
      <c r="B315" s="230" t="n"/>
      <c r="C315" s="230" t="n"/>
      <c r="D315" s="230" t="n"/>
      <c r="E315" s="230" t="n"/>
      <c r="F315" s="230" t="n"/>
      <c r="G315" s="230" t="n"/>
    </row>
    <row r="316">
      <c r="B316" s="230" t="n"/>
      <c r="C316" s="230" t="n"/>
      <c r="D316" s="230" t="n"/>
      <c r="E316" s="230" t="n"/>
      <c r="F316" s="230" t="n"/>
      <c r="G316" s="230" t="n"/>
    </row>
    <row r="317">
      <c r="B317" s="230" t="n"/>
      <c r="C317" s="230" t="n"/>
      <c r="D317" s="230" t="n"/>
      <c r="E317" s="230" t="n"/>
      <c r="F317" s="230" t="n"/>
      <c r="G317" s="230" t="n"/>
    </row>
    <row r="318">
      <c r="B318" s="230" t="n"/>
      <c r="C318" s="230" t="n"/>
      <c r="D318" s="230" t="n"/>
      <c r="E318" s="230" t="n"/>
      <c r="F318" s="230" t="n"/>
      <c r="G318" s="230" t="n"/>
    </row>
    <row r="319">
      <c r="B319" s="230" t="n"/>
      <c r="C319" s="230" t="n"/>
      <c r="D319" s="230" t="n"/>
      <c r="E319" s="230" t="n"/>
      <c r="F319" s="230" t="n"/>
      <c r="G319" s="230" t="n"/>
    </row>
    <row r="320">
      <c r="B320" s="230" t="n"/>
      <c r="C320" s="230" t="n"/>
      <c r="D320" s="230" t="n"/>
      <c r="E320" s="230" t="n"/>
      <c r="F320" s="230" t="n"/>
      <c r="G320" s="230" t="n"/>
    </row>
    <row r="321">
      <c r="B321" s="230" t="n"/>
      <c r="C321" s="230" t="n"/>
      <c r="D321" s="230" t="n"/>
      <c r="E321" s="230" t="n"/>
      <c r="F321" s="230" t="n"/>
      <c r="G321" s="230" t="n"/>
    </row>
    <row r="322">
      <c r="B322" s="230" t="n"/>
      <c r="C322" s="230" t="n"/>
      <c r="D322" s="230" t="n"/>
      <c r="E322" s="230" t="n"/>
      <c r="F322" s="230" t="n"/>
      <c r="G322" s="230" t="n"/>
    </row>
    <row r="323">
      <c r="B323" s="230" t="n"/>
      <c r="C323" s="230" t="n"/>
      <c r="D323" s="230" t="n"/>
      <c r="E323" s="230" t="n"/>
      <c r="F323" s="230" t="n"/>
      <c r="G323" s="230" t="n"/>
    </row>
    <row r="324">
      <c r="B324" s="230" t="n"/>
      <c r="C324" s="230" t="n"/>
      <c r="D324" s="230" t="n"/>
      <c r="E324" s="230" t="n"/>
      <c r="F324" s="230" t="n"/>
      <c r="G324" s="230" t="n"/>
    </row>
    <row r="325">
      <c r="B325" s="230" t="n"/>
      <c r="C325" s="230" t="n"/>
      <c r="D325" s="230" t="n"/>
      <c r="E325" s="230" t="n"/>
      <c r="F325" s="230" t="n"/>
      <c r="G325" s="230" t="n"/>
    </row>
    <row r="326">
      <c r="B326" s="230" t="n"/>
      <c r="C326" s="230" t="n"/>
      <c r="D326" s="230" t="n"/>
      <c r="E326" s="230" t="n"/>
      <c r="F326" s="230" t="n"/>
      <c r="G326" s="230" t="n"/>
    </row>
    <row r="327">
      <c r="B327" s="230" t="n"/>
      <c r="C327" s="230" t="n"/>
      <c r="D327" s="230" t="n"/>
      <c r="E327" s="230" t="n"/>
      <c r="F327" s="230" t="n"/>
      <c r="G327" s="230" t="n"/>
    </row>
    <row r="328">
      <c r="B328" s="230" t="n"/>
      <c r="C328" s="230" t="n"/>
      <c r="D328" s="230" t="n"/>
      <c r="E328" s="230" t="n"/>
      <c r="F328" s="230" t="n"/>
      <c r="G328" s="230" t="n"/>
    </row>
    <row r="329">
      <c r="B329" s="230" t="n"/>
      <c r="C329" s="230" t="n"/>
      <c r="D329" s="230" t="n"/>
      <c r="E329" s="230" t="n"/>
      <c r="F329" s="230" t="n"/>
      <c r="G329" s="230" t="n"/>
    </row>
    <row r="330">
      <c r="B330" s="230" t="n"/>
      <c r="C330" s="230" t="n"/>
      <c r="D330" s="230" t="n"/>
      <c r="E330" s="230" t="n"/>
      <c r="F330" s="230" t="n"/>
      <c r="G330" s="230" t="n"/>
    </row>
    <row r="331">
      <c r="B331" s="230" t="n"/>
      <c r="C331" s="230" t="n"/>
      <c r="D331" s="230" t="n"/>
      <c r="E331" s="230" t="n"/>
      <c r="F331" s="230" t="n"/>
      <c r="G331" s="230" t="n"/>
    </row>
    <row r="332">
      <c r="B332" s="230" t="n"/>
      <c r="C332" s="230" t="n"/>
      <c r="D332" s="230" t="n"/>
      <c r="E332" s="230" t="n"/>
      <c r="F332" s="230" t="n"/>
      <c r="G332" s="230" t="n"/>
    </row>
    <row r="333">
      <c r="B333" s="230" t="n"/>
      <c r="C333" s="230" t="n"/>
      <c r="D333" s="230" t="n"/>
      <c r="E333" s="230" t="n"/>
      <c r="F333" s="230" t="n"/>
      <c r="G333" s="230" t="n"/>
    </row>
    <row r="334">
      <c r="B334" s="230" t="n"/>
      <c r="C334" s="230" t="n"/>
      <c r="D334" s="230" t="n"/>
      <c r="E334" s="230" t="n"/>
      <c r="F334" s="230" t="n"/>
      <c r="G334" s="230" t="n"/>
    </row>
    <row r="335">
      <c r="B335" s="230" t="n"/>
      <c r="C335" s="230" t="n"/>
      <c r="D335" s="230" t="n"/>
      <c r="E335" s="230" t="n"/>
      <c r="F335" s="230" t="n"/>
      <c r="G335" s="230" t="n"/>
    </row>
    <row r="336">
      <c r="B336" s="230" t="n"/>
      <c r="C336" s="230" t="n"/>
      <c r="D336" s="230" t="n"/>
      <c r="E336" s="230" t="n"/>
      <c r="F336" s="230" t="n"/>
      <c r="G336" s="230" t="n"/>
    </row>
    <row r="337">
      <c r="B337" s="230" t="n"/>
      <c r="C337" s="230" t="n"/>
      <c r="D337" s="230" t="n"/>
      <c r="E337" s="230" t="n"/>
      <c r="F337" s="230" t="n"/>
      <c r="G337" s="230" t="n"/>
    </row>
    <row r="338">
      <c r="B338" s="230" t="n"/>
      <c r="C338" s="230" t="n"/>
      <c r="D338" s="230" t="n"/>
      <c r="E338" s="230" t="n"/>
      <c r="F338" s="230" t="n"/>
      <c r="G338" s="230" t="n"/>
    </row>
    <row r="339">
      <c r="B339" s="230" t="n"/>
      <c r="C339" s="230" t="n"/>
      <c r="D339" s="230" t="n"/>
      <c r="E339" s="230" t="n"/>
      <c r="F339" s="230" t="n"/>
      <c r="G339" s="230" t="n"/>
    </row>
    <row r="340">
      <c r="B340" s="230" t="n"/>
      <c r="C340" s="230" t="n"/>
      <c r="D340" s="230" t="n"/>
      <c r="E340" s="230" t="n"/>
      <c r="F340" s="230" t="n"/>
      <c r="G340" s="230" t="n"/>
    </row>
    <row r="341">
      <c r="B341" s="230" t="n"/>
      <c r="C341" s="230" t="n"/>
      <c r="D341" s="230" t="n"/>
      <c r="E341" s="230" t="n"/>
      <c r="F341" s="230" t="n"/>
      <c r="G341" s="230" t="n"/>
    </row>
    <row r="342">
      <c r="B342" s="230" t="n"/>
      <c r="C342" s="230" t="n"/>
      <c r="D342" s="230" t="n"/>
      <c r="E342" s="230" t="n"/>
      <c r="F342" s="230" t="n"/>
      <c r="G342" s="230" t="n"/>
    </row>
    <row r="343">
      <c r="B343" s="230" t="n"/>
      <c r="C343" s="230" t="n"/>
      <c r="D343" s="230" t="n"/>
      <c r="E343" s="230" t="n"/>
      <c r="F343" s="230" t="n"/>
      <c r="G343" s="230" t="n"/>
    </row>
    <row r="344">
      <c r="B344" s="230" t="n"/>
      <c r="C344" s="230" t="n"/>
      <c r="D344" s="230" t="n"/>
      <c r="E344" s="230" t="n"/>
      <c r="F344" s="230" t="n"/>
      <c r="G344" s="230" t="n"/>
    </row>
    <row r="345">
      <c r="B345" s="230" t="n"/>
      <c r="C345" s="230" t="n"/>
      <c r="D345" s="230" t="n"/>
      <c r="E345" s="230" t="n"/>
      <c r="F345" s="230" t="n"/>
      <c r="G345" s="230" t="n"/>
    </row>
    <row r="346">
      <c r="B346" s="230" t="n"/>
      <c r="C346" s="230" t="n"/>
      <c r="D346" s="230" t="n"/>
      <c r="E346" s="230" t="n"/>
      <c r="F346" s="230" t="n"/>
      <c r="G346" s="230" t="n"/>
    </row>
    <row r="347">
      <c r="B347" s="230" t="n"/>
      <c r="C347" s="230" t="n"/>
      <c r="D347" s="230" t="n"/>
      <c r="E347" s="230" t="n"/>
      <c r="F347" s="230" t="n"/>
      <c r="G347" s="230" t="n"/>
    </row>
    <row r="348">
      <c r="B348" s="230" t="n"/>
      <c r="C348" s="230" t="n"/>
      <c r="D348" s="230" t="n"/>
      <c r="E348" s="230" t="n"/>
      <c r="F348" s="230" t="n"/>
      <c r="G348" s="230" t="n"/>
    </row>
    <row r="349">
      <c r="B349" s="230" t="n"/>
      <c r="C349" s="230" t="n"/>
      <c r="D349" s="230" t="n"/>
      <c r="E349" s="230" t="n"/>
      <c r="F349" s="230" t="n"/>
      <c r="G349" s="230" t="n"/>
    </row>
    <row r="350">
      <c r="B350" s="230" t="n"/>
      <c r="C350" s="230" t="n"/>
      <c r="D350" s="230" t="n"/>
      <c r="E350" s="230" t="n"/>
      <c r="F350" s="230" t="n"/>
      <c r="G350" s="230" t="n"/>
    </row>
    <row r="351">
      <c r="B351" s="230" t="n"/>
      <c r="C351" s="230" t="n"/>
      <c r="D351" s="230" t="n"/>
      <c r="E351" s="230" t="n"/>
      <c r="F351" s="230" t="n"/>
      <c r="G351" s="230" t="n"/>
    </row>
    <row r="352">
      <c r="B352" s="230" t="n"/>
      <c r="C352" s="230" t="n"/>
      <c r="D352" s="230" t="n"/>
      <c r="E352" s="230" t="n"/>
      <c r="F352" s="230" t="n"/>
      <c r="G352" s="230" t="n"/>
    </row>
    <row r="353">
      <c r="B353" s="230" t="n"/>
      <c r="C353" s="230" t="n"/>
      <c r="D353" s="230" t="n"/>
      <c r="E353" s="230" t="n"/>
      <c r="F353" s="230" t="n"/>
      <c r="G353" s="230" t="n"/>
    </row>
    <row r="354">
      <c r="B354" s="230" t="n"/>
      <c r="C354" s="230" t="n"/>
      <c r="D354" s="230" t="n"/>
      <c r="E354" s="230" t="n"/>
      <c r="F354" s="230" t="n"/>
      <c r="G354" s="230" t="n"/>
    </row>
    <row r="355">
      <c r="B355" s="230" t="n"/>
      <c r="C355" s="230" t="n"/>
      <c r="D355" s="230" t="n"/>
      <c r="E355" s="230" t="n"/>
      <c r="F355" s="230" t="n"/>
      <c r="G355" s="230" t="n"/>
    </row>
    <row r="356">
      <c r="B356" s="230" t="n"/>
      <c r="C356" s="230" t="n"/>
      <c r="D356" s="230" t="n"/>
      <c r="E356" s="230" t="n"/>
      <c r="F356" s="230" t="n"/>
      <c r="G356" s="230" t="n"/>
    </row>
    <row r="357">
      <c r="B357" s="230" t="n"/>
      <c r="C357" s="230" t="n"/>
      <c r="D357" s="230" t="n"/>
      <c r="E357" s="230" t="n"/>
      <c r="F357" s="230" t="n"/>
      <c r="G357" s="230" t="n"/>
    </row>
    <row r="358">
      <c r="B358" s="230" t="n"/>
      <c r="C358" s="230" t="n"/>
      <c r="D358" s="230" t="n"/>
      <c r="E358" s="230" t="n"/>
      <c r="F358" s="230" t="n"/>
      <c r="G358" s="230" t="n"/>
    </row>
    <row r="359">
      <c r="B359" s="230" t="n"/>
      <c r="C359" s="230" t="n"/>
      <c r="D359" s="230" t="n"/>
      <c r="E359" s="230" t="n"/>
      <c r="F359" s="230" t="n"/>
      <c r="G359" s="230" t="n"/>
    </row>
    <row r="360">
      <c r="B360" s="230" t="n"/>
      <c r="C360" s="230" t="n"/>
      <c r="D360" s="230" t="n"/>
      <c r="E360" s="230" t="n"/>
      <c r="F360" s="230" t="n"/>
      <c r="G360" s="230" t="n"/>
    </row>
    <row r="361">
      <c r="B361" s="230" t="n"/>
      <c r="C361" s="230" t="n"/>
      <c r="D361" s="230" t="n"/>
      <c r="E361" s="230" t="n"/>
      <c r="F361" s="230" t="n"/>
      <c r="G361" s="230" t="n"/>
    </row>
    <row r="362">
      <c r="B362" s="230" t="n"/>
      <c r="C362" s="230" t="n"/>
      <c r="D362" s="230" t="n"/>
      <c r="E362" s="230" t="n"/>
      <c r="F362" s="230" t="n"/>
      <c r="G362" s="230" t="n"/>
    </row>
    <row r="363">
      <c r="B363" s="230" t="n"/>
      <c r="C363" s="230" t="n"/>
      <c r="D363" s="230" t="n"/>
      <c r="E363" s="230" t="n"/>
      <c r="F363" s="230" t="n"/>
      <c r="G363" s="230" t="n"/>
    </row>
    <row r="364">
      <c r="B364" s="230" t="n"/>
      <c r="C364" s="230" t="n"/>
      <c r="D364" s="230" t="n"/>
      <c r="E364" s="230" t="n"/>
      <c r="F364" s="230" t="n"/>
      <c r="G364" s="230" t="n"/>
    </row>
    <row r="365">
      <c r="B365" s="230" t="n"/>
      <c r="C365" s="230" t="n"/>
      <c r="D365" s="230" t="n"/>
      <c r="E365" s="230" t="n"/>
      <c r="F365" s="230" t="n"/>
      <c r="G365" s="230" t="n"/>
    </row>
    <row r="366">
      <c r="B366" s="230" t="n"/>
      <c r="C366" s="230" t="n"/>
      <c r="D366" s="230" t="n"/>
      <c r="E366" s="230" t="n"/>
      <c r="F366" s="230" t="n"/>
      <c r="G366" s="230" t="n"/>
    </row>
    <row r="367">
      <c r="B367" s="230" t="n"/>
      <c r="C367" s="230" t="n"/>
      <c r="D367" s="230" t="n"/>
      <c r="E367" s="230" t="n"/>
      <c r="F367" s="230" t="n"/>
      <c r="G367" s="230" t="n"/>
    </row>
    <row r="368">
      <c r="B368" s="230" t="n"/>
      <c r="C368" s="230" t="n"/>
      <c r="D368" s="230" t="n"/>
      <c r="E368" s="230" t="n"/>
      <c r="F368" s="230" t="n"/>
      <c r="G368" s="230" t="n"/>
    </row>
    <row r="369">
      <c r="B369" s="230" t="n"/>
      <c r="C369" s="230" t="n"/>
      <c r="D369" s="230" t="n"/>
      <c r="E369" s="230" t="n"/>
      <c r="F369" s="230" t="n"/>
      <c r="G369" s="230" t="n"/>
    </row>
    <row r="370">
      <c r="B370" s="230" t="n"/>
      <c r="C370" s="230" t="n"/>
      <c r="D370" s="230" t="n"/>
      <c r="E370" s="230" t="n"/>
      <c r="F370" s="230" t="n"/>
      <c r="G370" s="230" t="n"/>
    </row>
    <row r="371">
      <c r="B371" s="230" t="n"/>
      <c r="C371" s="230" t="n"/>
      <c r="D371" s="230" t="n"/>
      <c r="E371" s="230" t="n"/>
      <c r="F371" s="230" t="n"/>
      <c r="G371" s="230" t="n"/>
    </row>
    <row r="372">
      <c r="B372" s="230" t="n"/>
      <c r="C372" s="230" t="n"/>
      <c r="D372" s="230" t="n"/>
      <c r="E372" s="230" t="n"/>
      <c r="F372" s="230" t="n"/>
      <c r="G372" s="230" t="n"/>
    </row>
    <row r="373">
      <c r="B373" s="230" t="n"/>
      <c r="C373" s="230" t="n"/>
      <c r="D373" s="230" t="n"/>
      <c r="E373" s="230" t="n"/>
      <c r="F373" s="230" t="n"/>
      <c r="G373" s="230" t="n"/>
    </row>
    <row r="374">
      <c r="B374" s="230" t="n"/>
      <c r="C374" s="230" t="n"/>
      <c r="D374" s="230" t="n"/>
      <c r="E374" s="230" t="n"/>
      <c r="F374" s="230" t="n"/>
      <c r="G374" s="230" t="n"/>
    </row>
    <row r="375">
      <c r="B375" s="230" t="n"/>
      <c r="C375" s="230" t="n"/>
      <c r="D375" s="230" t="n"/>
      <c r="E375" s="230" t="n"/>
      <c r="F375" s="230" t="n"/>
      <c r="G375" s="230" t="n"/>
    </row>
    <row r="376">
      <c r="B376" s="230" t="n"/>
      <c r="C376" s="230" t="n"/>
      <c r="D376" s="230" t="n"/>
      <c r="E376" s="230" t="n"/>
      <c r="F376" s="230" t="n"/>
      <c r="G376" s="230" t="n"/>
    </row>
    <row r="377">
      <c r="B377" s="230" t="n"/>
      <c r="C377" s="230" t="n"/>
      <c r="D377" s="230" t="n"/>
      <c r="E377" s="230" t="n"/>
      <c r="F377" s="230" t="n"/>
      <c r="G377" s="230" t="n"/>
    </row>
    <row r="378">
      <c r="B378" s="230" t="n"/>
      <c r="C378" s="230" t="n"/>
      <c r="D378" s="230" t="n"/>
      <c r="E378" s="230" t="n"/>
      <c r="F378" s="230" t="n"/>
      <c r="G378" s="230" t="n"/>
    </row>
    <row r="379">
      <c r="B379" s="230" t="n"/>
      <c r="C379" s="230" t="n"/>
      <c r="D379" s="230" t="n"/>
      <c r="E379" s="230" t="n"/>
      <c r="F379" s="230" t="n"/>
      <c r="G379" s="230" t="n"/>
    </row>
    <row r="380">
      <c r="B380" s="230" t="n"/>
      <c r="C380" s="230" t="n"/>
      <c r="D380" s="230" t="n"/>
      <c r="E380" s="230" t="n"/>
      <c r="F380" s="230" t="n"/>
      <c r="G380" s="230" t="n"/>
    </row>
    <row r="381">
      <c r="B381" s="230" t="n"/>
      <c r="C381" s="230" t="n"/>
      <c r="D381" s="230" t="n"/>
      <c r="E381" s="230" t="n"/>
      <c r="F381" s="230" t="n"/>
      <c r="G381" s="230" t="n"/>
    </row>
    <row r="382">
      <c r="B382" s="230" t="n"/>
      <c r="C382" s="230" t="n"/>
      <c r="D382" s="230" t="n"/>
      <c r="E382" s="230" t="n"/>
      <c r="F382" s="230" t="n"/>
      <c r="G382" s="230" t="n"/>
    </row>
    <row r="383">
      <c r="B383" s="230" t="n"/>
      <c r="C383" s="230" t="n"/>
      <c r="D383" s="230" t="n"/>
      <c r="E383" s="230" t="n"/>
      <c r="F383" s="230" t="n"/>
      <c r="G383" s="230" t="n"/>
    </row>
    <row r="384">
      <c r="B384" s="230" t="n"/>
      <c r="C384" s="230" t="n"/>
      <c r="D384" s="230" t="n"/>
      <c r="E384" s="230" t="n"/>
      <c r="F384" s="230" t="n"/>
      <c r="G384" s="230" t="n"/>
    </row>
    <row r="385">
      <c r="B385" s="230" t="n"/>
      <c r="C385" s="230" t="n"/>
      <c r="D385" s="230" t="n"/>
      <c r="E385" s="230" t="n"/>
      <c r="F385" s="230" t="n"/>
      <c r="G385" s="230" t="n"/>
    </row>
    <row r="386">
      <c r="B386" s="230" t="n"/>
      <c r="C386" s="230" t="n"/>
      <c r="D386" s="230" t="n"/>
      <c r="E386" s="230" t="n"/>
      <c r="F386" s="230" t="n"/>
      <c r="G386" s="230" t="n"/>
    </row>
    <row r="387">
      <c r="B387" s="230" t="n"/>
      <c r="C387" s="230" t="n"/>
      <c r="D387" s="230" t="n"/>
      <c r="E387" s="230" t="n"/>
      <c r="F387" s="230" t="n"/>
      <c r="G387" s="230" t="n"/>
    </row>
    <row r="388">
      <c r="B388" s="230" t="n"/>
      <c r="C388" s="230" t="n"/>
      <c r="D388" s="230" t="n"/>
      <c r="E388" s="230" t="n"/>
      <c r="F388" s="230" t="n"/>
      <c r="G388" s="230" t="n"/>
    </row>
    <row r="389">
      <c r="B389" s="230" t="n"/>
      <c r="C389" s="230" t="n"/>
      <c r="D389" s="230" t="n"/>
      <c r="E389" s="230" t="n"/>
      <c r="F389" s="230" t="n"/>
      <c r="G389" s="230" t="n"/>
    </row>
    <row r="390">
      <c r="B390" s="230" t="n"/>
      <c r="C390" s="230" t="n"/>
      <c r="D390" s="230" t="n"/>
      <c r="E390" s="230" t="n"/>
      <c r="F390" s="230" t="n"/>
      <c r="G390" s="230" t="n"/>
    </row>
    <row r="391">
      <c r="B391" s="230" t="n"/>
      <c r="C391" s="230" t="n"/>
      <c r="D391" s="230" t="n"/>
      <c r="E391" s="230" t="n"/>
      <c r="F391" s="230" t="n"/>
      <c r="G391" s="230" t="n"/>
    </row>
    <row r="392">
      <c r="B392" s="230" t="n"/>
      <c r="C392" s="230" t="n"/>
      <c r="D392" s="230" t="n"/>
      <c r="E392" s="230" t="n"/>
      <c r="F392" s="230" t="n"/>
      <c r="G392" s="230" t="n"/>
    </row>
    <row r="393">
      <c r="B393" s="230" t="n"/>
      <c r="C393" s="230" t="n"/>
      <c r="D393" s="230" t="n"/>
      <c r="E393" s="230" t="n"/>
      <c r="F393" s="230" t="n"/>
      <c r="G393" s="230" t="n"/>
    </row>
    <row r="394">
      <c r="B394" s="230" t="n"/>
      <c r="C394" s="230" t="n"/>
      <c r="D394" s="230" t="n"/>
      <c r="E394" s="230" t="n"/>
      <c r="F394" s="230" t="n"/>
      <c r="G394" s="230" t="n"/>
    </row>
    <row r="395">
      <c r="B395" s="230" t="n"/>
      <c r="C395" s="230" t="n"/>
      <c r="D395" s="230" t="n"/>
      <c r="E395" s="230" t="n"/>
      <c r="F395" s="230" t="n"/>
      <c r="G395" s="230" t="n"/>
    </row>
    <row r="396">
      <c r="B396" s="230" t="n"/>
      <c r="C396" s="230" t="n"/>
      <c r="D396" s="230" t="n"/>
      <c r="E396" s="230" t="n"/>
      <c r="F396" s="230" t="n"/>
      <c r="G396" s="230" t="n"/>
    </row>
    <row r="397">
      <c r="B397" s="230" t="n"/>
      <c r="C397" s="230" t="n"/>
      <c r="D397" s="230" t="n"/>
      <c r="E397" s="230" t="n"/>
      <c r="F397" s="230" t="n"/>
      <c r="G397" s="230" t="n"/>
    </row>
    <row r="398">
      <c r="B398" s="230" t="n"/>
      <c r="C398" s="230" t="n"/>
      <c r="D398" s="230" t="n"/>
      <c r="E398" s="230" t="n"/>
      <c r="F398" s="230" t="n"/>
      <c r="G398" s="230" t="n"/>
    </row>
    <row r="399">
      <c r="B399" s="230" t="n"/>
      <c r="C399" s="230" t="n"/>
      <c r="D399" s="230" t="n"/>
      <c r="E399" s="230" t="n"/>
      <c r="F399" s="230" t="n"/>
      <c r="G399" s="230" t="n"/>
    </row>
    <row r="400">
      <c r="B400" s="230" t="n"/>
      <c r="C400" s="230" t="n"/>
      <c r="D400" s="230" t="n"/>
      <c r="E400" s="230" t="n"/>
      <c r="F400" s="230" t="n"/>
      <c r="G400" s="230" t="n"/>
    </row>
    <row r="401">
      <c r="B401" s="230" t="n"/>
      <c r="C401" s="230" t="n"/>
      <c r="D401" s="230" t="n"/>
      <c r="E401" s="230" t="n"/>
      <c r="F401" s="230" t="n"/>
      <c r="G401" s="230" t="n"/>
    </row>
    <row r="402">
      <c r="B402" s="230" t="n"/>
      <c r="C402" s="230" t="n"/>
      <c r="D402" s="230" t="n"/>
      <c r="E402" s="230" t="n"/>
      <c r="F402" s="230" t="n"/>
      <c r="G402" s="230" t="n"/>
    </row>
    <row r="403">
      <c r="B403" s="230" t="n"/>
      <c r="C403" s="230" t="n"/>
      <c r="D403" s="230" t="n"/>
      <c r="E403" s="230" t="n"/>
      <c r="F403" s="230" t="n"/>
      <c r="G403" s="230" t="n"/>
    </row>
    <row r="404">
      <c r="B404" s="230" t="n"/>
      <c r="C404" s="230" t="n"/>
      <c r="D404" s="230" t="n"/>
      <c r="E404" s="230" t="n"/>
      <c r="F404" s="230" t="n"/>
      <c r="G404" s="230" t="n"/>
    </row>
    <row r="405">
      <c r="B405" s="230" t="n"/>
      <c r="C405" s="230" t="n"/>
      <c r="D405" s="230" t="n"/>
      <c r="E405" s="230" t="n"/>
      <c r="F405" s="230" t="n"/>
      <c r="G405" s="230" t="n"/>
    </row>
    <row r="406">
      <c r="B406" s="230" t="n"/>
      <c r="C406" s="230" t="n"/>
      <c r="D406" s="230" t="n"/>
      <c r="E406" s="230" t="n"/>
      <c r="F406" s="230" t="n"/>
      <c r="G406" s="230" t="n"/>
    </row>
    <row r="407">
      <c r="B407" s="230" t="n"/>
      <c r="C407" s="230" t="n"/>
      <c r="D407" s="230" t="n"/>
      <c r="E407" s="230" t="n"/>
      <c r="F407" s="230" t="n"/>
      <c r="G407" s="230" t="n"/>
    </row>
    <row r="408">
      <c r="B408" s="230" t="n"/>
      <c r="C408" s="230" t="n"/>
      <c r="D408" s="230" t="n"/>
      <c r="E408" s="230" t="n"/>
      <c r="F408" s="230" t="n"/>
      <c r="G408" s="230" t="n"/>
    </row>
    <row r="409">
      <c r="B409" s="230" t="n"/>
      <c r="C409" s="230" t="n"/>
      <c r="D409" s="230" t="n"/>
      <c r="E409" s="230" t="n"/>
      <c r="F409" s="230" t="n"/>
      <c r="G409" s="230" t="n"/>
    </row>
    <row r="410">
      <c r="B410" s="230" t="n"/>
      <c r="C410" s="230" t="n"/>
      <c r="D410" s="230" t="n"/>
      <c r="E410" s="230" t="n"/>
      <c r="F410" s="230" t="n"/>
      <c r="G410" s="230" t="n"/>
    </row>
    <row r="411">
      <c r="B411" s="230" t="n"/>
      <c r="C411" s="230" t="n"/>
      <c r="D411" s="230" t="n"/>
      <c r="E411" s="230" t="n"/>
      <c r="F411" s="230" t="n"/>
      <c r="G411" s="230" t="n"/>
    </row>
    <row r="412">
      <c r="B412" s="230" t="n"/>
      <c r="C412" s="230" t="n"/>
      <c r="D412" s="230" t="n"/>
      <c r="E412" s="230" t="n"/>
      <c r="F412" s="230" t="n"/>
      <c r="G412" s="230" t="n"/>
    </row>
    <row r="413">
      <c r="B413" s="230" t="n"/>
      <c r="C413" s="230" t="n"/>
      <c r="D413" s="230" t="n"/>
      <c r="E413" s="230" t="n"/>
      <c r="F413" s="230" t="n"/>
      <c r="G413" s="230" t="n"/>
    </row>
    <row r="414">
      <c r="B414" s="230" t="n"/>
      <c r="C414" s="230" t="n"/>
      <c r="D414" s="230" t="n"/>
      <c r="E414" s="230" t="n"/>
      <c r="F414" s="230" t="n"/>
      <c r="G414" s="230" t="n"/>
    </row>
    <row r="415">
      <c r="B415" s="230" t="n"/>
      <c r="C415" s="230" t="n"/>
      <c r="D415" s="230" t="n"/>
      <c r="E415" s="230" t="n"/>
      <c r="F415" s="230" t="n"/>
      <c r="G415" s="230" t="n"/>
    </row>
    <row r="416">
      <c r="B416" s="230" t="n"/>
      <c r="C416" s="230" t="n"/>
      <c r="D416" s="230" t="n"/>
      <c r="E416" s="230" t="n"/>
      <c r="F416" s="230" t="n"/>
      <c r="G416" s="230" t="n"/>
    </row>
    <row r="417">
      <c r="B417" s="230" t="n"/>
      <c r="C417" s="230" t="n"/>
      <c r="D417" s="230" t="n"/>
      <c r="E417" s="230" t="n"/>
      <c r="F417" s="230" t="n"/>
      <c r="G417" s="230" t="n"/>
    </row>
    <row r="418">
      <c r="B418" s="230" t="n"/>
      <c r="C418" s="230" t="n"/>
      <c r="D418" s="230" t="n"/>
      <c r="E418" s="230" t="n"/>
      <c r="F418" s="230" t="n"/>
      <c r="G418" s="230" t="n"/>
    </row>
    <row r="419">
      <c r="B419" s="230" t="n"/>
      <c r="C419" s="230" t="n"/>
      <c r="D419" s="230" t="n"/>
      <c r="E419" s="230" t="n"/>
      <c r="F419" s="230" t="n"/>
      <c r="G419" s="230" t="n"/>
    </row>
    <row r="420">
      <c r="B420" s="230" t="n"/>
      <c r="C420" s="230" t="n"/>
      <c r="D420" s="230" t="n"/>
      <c r="E420" s="230" t="n"/>
      <c r="F420" s="230" t="n"/>
      <c r="G420" s="230" t="n"/>
    </row>
    <row r="421">
      <c r="B421" s="230" t="n"/>
      <c r="C421" s="230" t="n"/>
      <c r="D421" s="230" t="n"/>
      <c r="E421" s="230" t="n"/>
      <c r="F421" s="230" t="n"/>
      <c r="G421" s="230" t="n"/>
    </row>
    <row r="422">
      <c r="B422" s="230" t="n"/>
      <c r="C422" s="230" t="n"/>
      <c r="D422" s="230" t="n"/>
      <c r="E422" s="230" t="n"/>
      <c r="F422" s="230" t="n"/>
      <c r="G422" s="230" t="n"/>
    </row>
    <row r="423">
      <c r="B423" s="230" t="n"/>
      <c r="C423" s="230" t="n"/>
      <c r="D423" s="230" t="n"/>
      <c r="E423" s="230" t="n"/>
      <c r="F423" s="230" t="n"/>
      <c r="G423" s="230" t="n"/>
    </row>
    <row r="424">
      <c r="B424" s="230" t="n"/>
      <c r="C424" s="230" t="n"/>
      <c r="D424" s="230" t="n"/>
      <c r="E424" s="230" t="n"/>
      <c r="F424" s="230" t="n"/>
      <c r="G424" s="230" t="n"/>
    </row>
    <row r="425">
      <c r="B425" s="230" t="n"/>
      <c r="C425" s="230" t="n"/>
      <c r="D425" s="230" t="n"/>
      <c r="E425" s="230" t="n"/>
      <c r="F425" s="230" t="n"/>
      <c r="G425" s="230" t="n"/>
    </row>
    <row r="426">
      <c r="B426" s="230" t="n"/>
      <c r="C426" s="230" t="n"/>
      <c r="D426" s="230" t="n"/>
      <c r="E426" s="230" t="n"/>
      <c r="F426" s="230" t="n"/>
      <c r="G426" s="230" t="n"/>
    </row>
    <row r="427">
      <c r="B427" s="230" t="n"/>
      <c r="C427" s="230" t="n"/>
      <c r="D427" s="230" t="n"/>
      <c r="E427" s="230" t="n"/>
      <c r="F427" s="230" t="n"/>
      <c r="G427" s="230" t="n"/>
    </row>
    <row r="428">
      <c r="B428" s="230" t="n"/>
      <c r="C428" s="230" t="n"/>
      <c r="D428" s="230" t="n"/>
      <c r="E428" s="230" t="n"/>
      <c r="F428" s="230" t="n"/>
      <c r="G428" s="230" t="n"/>
    </row>
    <row r="429">
      <c r="B429" s="230" t="n"/>
      <c r="C429" s="230" t="n"/>
      <c r="D429" s="230" t="n"/>
      <c r="E429" s="230" t="n"/>
      <c r="F429" s="230" t="n"/>
      <c r="G429" s="230" t="n"/>
    </row>
    <row r="430">
      <c r="B430" s="230" t="n"/>
      <c r="C430" s="230" t="n"/>
      <c r="D430" s="230" t="n"/>
      <c r="E430" s="230" t="n"/>
      <c r="F430" s="230" t="n"/>
      <c r="G430" s="230" t="n"/>
    </row>
    <row r="431">
      <c r="B431" s="230" t="n"/>
      <c r="C431" s="230" t="n"/>
      <c r="D431" s="230" t="n"/>
      <c r="E431" s="230" t="n"/>
      <c r="F431" s="230" t="n"/>
      <c r="G431" s="230" t="n"/>
    </row>
    <row r="432">
      <c r="B432" s="230" t="n"/>
      <c r="C432" s="230" t="n"/>
      <c r="D432" s="230" t="n"/>
      <c r="E432" s="230" t="n"/>
      <c r="F432" s="230" t="n"/>
      <c r="G432" s="230" t="n"/>
    </row>
    <row r="433">
      <c r="B433" s="230" t="n"/>
      <c r="C433" s="230" t="n"/>
      <c r="D433" s="230" t="n"/>
      <c r="E433" s="230" t="n"/>
      <c r="F433" s="230" t="n"/>
      <c r="G433" s="230" t="n"/>
    </row>
    <row r="434">
      <c r="B434" s="230" t="n"/>
      <c r="C434" s="230" t="n"/>
      <c r="D434" s="230" t="n"/>
      <c r="E434" s="230" t="n"/>
      <c r="F434" s="230" t="n"/>
      <c r="G434" s="230" t="n"/>
    </row>
    <row r="435">
      <c r="B435" s="230" t="n"/>
      <c r="C435" s="230" t="n"/>
      <c r="D435" s="230" t="n"/>
      <c r="E435" s="230" t="n"/>
      <c r="F435" s="230" t="n"/>
      <c r="G435" s="230" t="n"/>
    </row>
    <row r="436">
      <c r="B436" s="230" t="n"/>
      <c r="C436" s="230" t="n"/>
      <c r="D436" s="230" t="n"/>
      <c r="E436" s="230" t="n"/>
      <c r="F436" s="230" t="n"/>
      <c r="G436" s="230" t="n"/>
    </row>
    <row r="437">
      <c r="B437" s="230" t="n"/>
      <c r="C437" s="230" t="n"/>
      <c r="D437" s="230" t="n"/>
      <c r="E437" s="230" t="n"/>
      <c r="F437" s="230" t="n"/>
      <c r="G437" s="230" t="n"/>
    </row>
    <row r="438">
      <c r="B438" s="230" t="n"/>
      <c r="C438" s="230" t="n"/>
      <c r="D438" s="230" t="n"/>
      <c r="E438" s="230" t="n"/>
      <c r="F438" s="230" t="n"/>
      <c r="G438" s="230" t="n"/>
    </row>
    <row r="439">
      <c r="B439" s="230" t="n"/>
      <c r="C439" s="230" t="n"/>
      <c r="D439" s="230" t="n"/>
      <c r="E439" s="230" t="n"/>
      <c r="F439" s="230" t="n"/>
      <c r="G439" s="230" t="n"/>
    </row>
    <row r="440">
      <c r="B440" s="230" t="n"/>
      <c r="C440" s="230" t="n"/>
      <c r="D440" s="230" t="n"/>
      <c r="E440" s="230" t="n"/>
      <c r="F440" s="230" t="n"/>
      <c r="G440" s="230" t="n"/>
    </row>
    <row r="441">
      <c r="B441" s="230" t="n"/>
      <c r="C441" s="230" t="n"/>
      <c r="D441" s="230" t="n"/>
      <c r="E441" s="230" t="n"/>
      <c r="F441" s="230" t="n"/>
      <c r="G441" s="230" t="n"/>
    </row>
    <row r="442">
      <c r="B442" s="230" t="n"/>
      <c r="C442" s="230" t="n"/>
      <c r="D442" s="230" t="n"/>
      <c r="E442" s="230" t="n"/>
      <c r="F442" s="230" t="n"/>
      <c r="G442" s="230" t="n"/>
    </row>
    <row r="443">
      <c r="B443" s="230" t="n"/>
      <c r="C443" s="230" t="n"/>
      <c r="D443" s="230" t="n"/>
      <c r="E443" s="230" t="n"/>
      <c r="F443" s="230" t="n"/>
      <c r="G443" s="230" t="n"/>
    </row>
    <row r="444">
      <c r="B444" s="230" t="n"/>
      <c r="C444" s="230" t="n"/>
      <c r="D444" s="230" t="n"/>
      <c r="E444" s="230" t="n"/>
      <c r="F444" s="230" t="n"/>
      <c r="G444" s="230" t="n"/>
    </row>
    <row r="445">
      <c r="B445" s="230" t="n"/>
      <c r="C445" s="230" t="n"/>
      <c r="D445" s="230" t="n"/>
      <c r="E445" s="230" t="n"/>
      <c r="F445" s="230" t="n"/>
      <c r="G445" s="230" t="n"/>
    </row>
    <row r="446">
      <c r="B446" s="230" t="n"/>
      <c r="C446" s="230" t="n"/>
      <c r="D446" s="230" t="n"/>
      <c r="E446" s="230" t="n"/>
      <c r="F446" s="230" t="n"/>
      <c r="G446" s="230" t="n"/>
    </row>
    <row r="447">
      <c r="B447" s="230" t="n"/>
      <c r="C447" s="230" t="n"/>
      <c r="D447" s="230" t="n"/>
      <c r="E447" s="230" t="n"/>
      <c r="F447" s="230" t="n"/>
      <c r="G447" s="230" t="n"/>
    </row>
    <row r="448">
      <c r="B448" s="230" t="n"/>
      <c r="C448" s="230" t="n"/>
      <c r="D448" s="230" t="n"/>
      <c r="E448" s="230" t="n"/>
      <c r="F448" s="230" t="n"/>
      <c r="G448" s="230" t="n"/>
    </row>
    <row r="449">
      <c r="B449" s="230" t="n"/>
      <c r="C449" s="230" t="n"/>
      <c r="D449" s="230" t="n"/>
      <c r="E449" s="230" t="n"/>
      <c r="F449" s="230" t="n"/>
      <c r="G449" s="230" t="n"/>
    </row>
    <row r="450">
      <c r="B450" s="230" t="n"/>
      <c r="C450" s="230" t="n"/>
      <c r="D450" s="230" t="n"/>
      <c r="E450" s="230" t="n"/>
      <c r="F450" s="230" t="n"/>
      <c r="G450" s="230" t="n"/>
    </row>
    <row r="451">
      <c r="B451" s="230" t="n"/>
      <c r="C451" s="230" t="n"/>
      <c r="D451" s="230" t="n"/>
      <c r="E451" s="230" t="n"/>
      <c r="F451" s="230" t="n"/>
      <c r="G451" s="230" t="n"/>
    </row>
    <row r="452">
      <c r="B452" s="230" t="n"/>
      <c r="C452" s="230" t="n"/>
      <c r="D452" s="230" t="n"/>
      <c r="E452" s="230" t="n"/>
      <c r="F452" s="230" t="n"/>
      <c r="G452" s="230" t="n"/>
    </row>
    <row r="453">
      <c r="B453" s="230" t="n"/>
      <c r="C453" s="230" t="n"/>
      <c r="D453" s="230" t="n"/>
      <c r="E453" s="230" t="n"/>
      <c r="F453" s="230" t="n"/>
      <c r="G453" s="230" t="n"/>
    </row>
    <row r="454">
      <c r="B454" s="230" t="n"/>
      <c r="C454" s="230" t="n"/>
      <c r="D454" s="230" t="n"/>
      <c r="E454" s="230" t="n"/>
      <c r="F454" s="230" t="n"/>
      <c r="G454" s="230" t="n"/>
    </row>
    <row r="455">
      <c r="B455" s="230" t="n"/>
      <c r="C455" s="230" t="n"/>
      <c r="D455" s="230" t="n"/>
      <c r="E455" s="230" t="n"/>
      <c r="F455" s="230" t="n"/>
      <c r="G455" s="230" t="n"/>
    </row>
    <row r="456">
      <c r="B456" s="230" t="n"/>
      <c r="C456" s="230" t="n"/>
      <c r="D456" s="230" t="n"/>
      <c r="E456" s="230" t="n"/>
      <c r="F456" s="230" t="n"/>
      <c r="G456" s="230" t="n"/>
    </row>
    <row r="457">
      <c r="B457" s="230" t="n"/>
      <c r="C457" s="230" t="n"/>
      <c r="D457" s="230" t="n"/>
      <c r="E457" s="230" t="n"/>
      <c r="F457" s="230" t="n"/>
      <c r="G457" s="230" t="n"/>
    </row>
    <row r="458">
      <c r="B458" s="230" t="n"/>
      <c r="C458" s="230" t="n"/>
      <c r="D458" s="230" t="n"/>
      <c r="E458" s="230" t="n"/>
      <c r="F458" s="230" t="n"/>
      <c r="G458" s="230" t="n"/>
    </row>
    <row r="459">
      <c r="B459" s="230" t="n"/>
      <c r="C459" s="230" t="n"/>
      <c r="D459" s="230" t="n"/>
      <c r="E459" s="230" t="n"/>
      <c r="F459" s="230" t="n"/>
      <c r="G459" s="230" t="n"/>
    </row>
    <row r="460">
      <c r="B460" s="230" t="n"/>
      <c r="C460" s="230" t="n"/>
      <c r="D460" s="230" t="n"/>
      <c r="E460" s="230" t="n"/>
      <c r="F460" s="230" t="n"/>
      <c r="G460" s="230" t="n"/>
    </row>
    <row r="461">
      <c r="B461" s="230" t="n"/>
      <c r="C461" s="230" t="n"/>
      <c r="D461" s="230" t="n"/>
      <c r="E461" s="230" t="n"/>
      <c r="F461" s="230" t="n"/>
      <c r="G461" s="230" t="n"/>
    </row>
    <row r="462">
      <c r="B462" s="230" t="n"/>
      <c r="C462" s="230" t="n"/>
      <c r="D462" s="230" t="n"/>
      <c r="E462" s="230" t="n"/>
      <c r="F462" s="230" t="n"/>
      <c r="G462" s="230" t="n"/>
    </row>
    <row r="463">
      <c r="B463" s="230" t="n"/>
      <c r="C463" s="230" t="n"/>
      <c r="D463" s="230" t="n"/>
      <c r="E463" s="230" t="n"/>
      <c r="F463" s="230" t="n"/>
      <c r="G463" s="230" t="n"/>
    </row>
    <row r="464">
      <c r="B464" s="230" t="n"/>
      <c r="C464" s="230" t="n"/>
      <c r="D464" s="230" t="n"/>
      <c r="E464" s="230" t="n"/>
      <c r="F464" s="230" t="n"/>
      <c r="G464" s="230" t="n"/>
    </row>
    <row r="465">
      <c r="B465" s="230" t="n"/>
      <c r="C465" s="230" t="n"/>
      <c r="D465" s="230" t="n"/>
      <c r="E465" s="230" t="n"/>
      <c r="F465" s="230" t="n"/>
      <c r="G465" s="230" t="n"/>
    </row>
    <row r="466">
      <c r="B466" s="230" t="n"/>
      <c r="C466" s="230" t="n"/>
      <c r="D466" s="230" t="n"/>
      <c r="E466" s="230" t="n"/>
      <c r="F466" s="230" t="n"/>
      <c r="G466" s="230" t="n"/>
    </row>
    <row r="467">
      <c r="B467" s="230" t="n"/>
      <c r="C467" s="230" t="n"/>
      <c r="D467" s="230" t="n"/>
      <c r="E467" s="230" t="n"/>
      <c r="F467" s="230" t="n"/>
      <c r="G467" s="230" t="n"/>
    </row>
    <row r="468">
      <c r="B468" s="230" t="n"/>
      <c r="C468" s="230" t="n"/>
      <c r="D468" s="230" t="n"/>
      <c r="E468" s="230" t="n"/>
      <c r="F468" s="230" t="n"/>
      <c r="G468" s="230" t="n"/>
    </row>
    <row r="469">
      <c r="B469" s="230" t="n"/>
      <c r="C469" s="230" t="n"/>
      <c r="D469" s="230" t="n"/>
      <c r="E469" s="230" t="n"/>
      <c r="F469" s="230" t="n"/>
      <c r="G469" s="230" t="n"/>
    </row>
    <row r="470">
      <c r="B470" s="230" t="n"/>
      <c r="C470" s="230" t="n"/>
      <c r="D470" s="230" t="n"/>
      <c r="E470" s="230" t="n"/>
      <c r="F470" s="230" t="n"/>
      <c r="G470" s="230" t="n"/>
    </row>
    <row r="471">
      <c r="B471" s="230" t="n"/>
      <c r="C471" s="230" t="n"/>
      <c r="D471" s="230" t="n"/>
      <c r="E471" s="230" t="n"/>
      <c r="F471" s="230" t="n"/>
      <c r="G471" s="230" t="n"/>
    </row>
    <row r="472">
      <c r="B472" s="230" t="n"/>
      <c r="C472" s="230" t="n"/>
      <c r="D472" s="230" t="n"/>
      <c r="E472" s="230" t="n"/>
      <c r="F472" s="230" t="n"/>
      <c r="G472" s="230" t="n"/>
    </row>
    <row r="473">
      <c r="B473" s="230" t="n"/>
      <c r="C473" s="230" t="n"/>
      <c r="D473" s="230" t="n"/>
      <c r="E473" s="230" t="n"/>
      <c r="F473" s="230" t="n"/>
      <c r="G473" s="230" t="n"/>
    </row>
    <row r="474">
      <c r="B474" s="230" t="n"/>
      <c r="C474" s="230" t="n"/>
      <c r="D474" s="230" t="n"/>
      <c r="E474" s="230" t="n"/>
      <c r="F474" s="230" t="n"/>
      <c r="G474" s="230" t="n"/>
    </row>
    <row r="475">
      <c r="B475" s="230" t="n"/>
      <c r="C475" s="230" t="n"/>
      <c r="D475" s="230" t="n"/>
      <c r="E475" s="230" t="n"/>
      <c r="F475" s="230" t="n"/>
      <c r="G475" s="230" t="n"/>
    </row>
    <row r="476">
      <c r="B476" s="230" t="n"/>
      <c r="C476" s="230" t="n"/>
      <c r="D476" s="230" t="n"/>
      <c r="E476" s="230" t="n"/>
      <c r="F476" s="230" t="n"/>
      <c r="G476" s="230" t="n"/>
    </row>
    <row r="477">
      <c r="B477" s="230" t="n"/>
      <c r="C477" s="230" t="n"/>
      <c r="D477" s="230" t="n"/>
      <c r="E477" s="230" t="n"/>
      <c r="F477" s="230" t="n"/>
      <c r="G477" s="230" t="n"/>
    </row>
    <row r="478">
      <c r="B478" s="230" t="n"/>
      <c r="C478" s="230" t="n"/>
      <c r="D478" s="230" t="n"/>
      <c r="E478" s="230" t="n"/>
      <c r="F478" s="230" t="n"/>
      <c r="G478" s="230" t="n"/>
    </row>
    <row r="479">
      <c r="B479" s="230" t="n"/>
      <c r="C479" s="230" t="n"/>
      <c r="D479" s="230" t="n"/>
      <c r="E479" s="230" t="n"/>
      <c r="F479" s="230" t="n"/>
      <c r="G479" s="230" t="n"/>
    </row>
    <row r="480">
      <c r="B480" s="230" t="n"/>
      <c r="C480" s="230" t="n"/>
      <c r="D480" s="230" t="n"/>
      <c r="E480" s="230" t="n"/>
      <c r="F480" s="230" t="n"/>
      <c r="G480" s="230" t="n"/>
    </row>
    <row r="481">
      <c r="B481" s="230" t="n"/>
      <c r="C481" s="230" t="n"/>
      <c r="D481" s="230" t="n"/>
      <c r="E481" s="230" t="n"/>
      <c r="F481" s="230" t="n"/>
      <c r="G481" s="230" t="n"/>
    </row>
    <row r="482">
      <c r="B482" s="230" t="n"/>
      <c r="C482" s="230" t="n"/>
      <c r="D482" s="230" t="n"/>
      <c r="E482" s="230" t="n"/>
      <c r="F482" s="230" t="n"/>
      <c r="G482" s="230" t="n"/>
    </row>
    <row r="483">
      <c r="B483" s="230" t="n"/>
      <c r="C483" s="230" t="n"/>
      <c r="D483" s="230" t="n"/>
      <c r="E483" s="230" t="n"/>
      <c r="F483" s="230" t="n"/>
      <c r="G483" s="230" t="n"/>
    </row>
    <row r="484">
      <c r="B484" s="230" t="n"/>
      <c r="C484" s="230" t="n"/>
      <c r="D484" s="230" t="n"/>
      <c r="E484" s="230" t="n"/>
      <c r="F484" s="230" t="n"/>
      <c r="G484" s="230" t="n"/>
    </row>
    <row r="485">
      <c r="B485" s="230" t="n"/>
      <c r="C485" s="230" t="n"/>
      <c r="D485" s="230" t="n"/>
      <c r="E485" s="230" t="n"/>
      <c r="F485" s="230" t="n"/>
      <c r="G485" s="230" t="n"/>
    </row>
    <row r="486">
      <c r="B486" s="230" t="n"/>
      <c r="C486" s="230" t="n"/>
      <c r="D486" s="230" t="n"/>
      <c r="E486" s="230" t="n"/>
      <c r="F486" s="230" t="n"/>
      <c r="G486" s="230" t="n"/>
    </row>
    <row r="487">
      <c r="B487" s="230" t="n"/>
      <c r="C487" s="230" t="n"/>
      <c r="D487" s="230" t="n"/>
      <c r="E487" s="230" t="n"/>
      <c r="F487" s="230" t="n"/>
      <c r="G487" s="230" t="n"/>
    </row>
    <row r="488">
      <c r="B488" s="230" t="n"/>
      <c r="C488" s="230" t="n"/>
      <c r="D488" s="230" t="n"/>
      <c r="E488" s="230" t="n"/>
      <c r="F488" s="230" t="n"/>
      <c r="G488" s="230" t="n"/>
    </row>
    <row r="489">
      <c r="B489" s="230" t="n"/>
      <c r="C489" s="230" t="n"/>
      <c r="D489" s="230" t="n"/>
      <c r="E489" s="230" t="n"/>
      <c r="F489" s="230" t="n"/>
      <c r="G489" s="230" t="n"/>
    </row>
    <row r="490">
      <c r="B490" s="230" t="n"/>
      <c r="C490" s="230" t="n"/>
      <c r="D490" s="230" t="n"/>
      <c r="E490" s="230" t="n"/>
      <c r="F490" s="230" t="n"/>
      <c r="G490" s="230" t="n"/>
    </row>
    <row r="491">
      <c r="B491" s="230" t="n"/>
      <c r="C491" s="230" t="n"/>
      <c r="D491" s="230" t="n"/>
      <c r="E491" s="230" t="n"/>
      <c r="F491" s="230" t="n"/>
      <c r="G491" s="230" t="n"/>
    </row>
    <row r="492">
      <c r="B492" s="230" t="n"/>
      <c r="C492" s="230" t="n"/>
      <c r="D492" s="230" t="n"/>
      <c r="E492" s="230" t="n"/>
      <c r="F492" s="230" t="n"/>
      <c r="G492" s="230" t="n"/>
    </row>
    <row r="493">
      <c r="B493" s="230" t="n"/>
      <c r="C493" s="230" t="n"/>
      <c r="D493" s="230" t="n"/>
      <c r="E493" s="230" t="n"/>
      <c r="F493" s="230" t="n"/>
      <c r="G493" s="230" t="n"/>
    </row>
    <row r="494">
      <c r="B494" s="230" t="n"/>
      <c r="C494" s="230" t="n"/>
      <c r="D494" s="230" t="n"/>
      <c r="E494" s="230" t="n"/>
      <c r="F494" s="230" t="n"/>
      <c r="G494" s="230" t="n"/>
    </row>
    <row r="495">
      <c r="B495" s="230" t="n"/>
      <c r="C495" s="230" t="n"/>
      <c r="D495" s="230" t="n"/>
      <c r="E495" s="230" t="n"/>
      <c r="F495" s="230" t="n"/>
      <c r="G495" s="230" t="n"/>
    </row>
    <row r="496">
      <c r="B496" s="230" t="n"/>
      <c r="C496" s="230" t="n"/>
      <c r="D496" s="230" t="n"/>
      <c r="E496" s="230" t="n"/>
      <c r="F496" s="230" t="n"/>
      <c r="G496" s="230" t="n"/>
    </row>
    <row r="497">
      <c r="B497" s="230" t="n"/>
      <c r="C497" s="230" t="n"/>
      <c r="D497" s="230" t="n"/>
      <c r="E497" s="230" t="n"/>
      <c r="F497" s="230" t="n"/>
      <c r="G497" s="230" t="n"/>
    </row>
    <row r="498">
      <c r="B498" s="230" t="n"/>
      <c r="C498" s="230" t="n"/>
      <c r="D498" s="230" t="n"/>
      <c r="E498" s="230" t="n"/>
      <c r="F498" s="230" t="n"/>
      <c r="G498" s="230" t="n"/>
    </row>
    <row r="499">
      <c r="B499" s="230" t="n"/>
      <c r="C499" s="230" t="n"/>
      <c r="D499" s="230" t="n"/>
      <c r="E499" s="230" t="n"/>
      <c r="F499" s="230" t="n"/>
      <c r="G499" s="230" t="n"/>
    </row>
    <row r="500">
      <c r="B500" s="230" t="n"/>
      <c r="C500" s="230" t="n"/>
      <c r="D500" s="230" t="n"/>
      <c r="E500" s="230" t="n"/>
      <c r="F500" s="230" t="n"/>
      <c r="G5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4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4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4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n"/>
      <c r="B11" s="241" t="n"/>
      <c r="C11" s="241" t="n"/>
      <c r="D11" s="241" t="n"/>
      <c r="E11" s="245" t="n"/>
      <c r="F11" s="241" t="n"/>
      <c r="G11" s="241" t="n"/>
      <c r="H11" s="241" t="n"/>
      <c r="I11" s="241" t="n"/>
      <c r="J11" s="245" t="n"/>
      <c r="K11" s="241" t="n"/>
      <c r="L11" s="245" t="n"/>
      <c r="M11" s="223" t="n"/>
      <c r="N11" s="223" t="inlineStr"/>
    </row>
    <row r="12" ht="30" customHeight="1">
      <c r="A12" s="223" t="n"/>
      <c r="B12" s="241" t="n"/>
      <c r="C12" s="241" t="n"/>
      <c r="D12" s="241" t="n"/>
      <c r="E12" s="245" t="n"/>
      <c r="F12" s="241" t="n"/>
      <c r="G12" s="241" t="n"/>
      <c r="H12" s="241" t="n"/>
      <c r="I12" s="241" t="n"/>
      <c r="J12" s="245" t="n"/>
      <c r="K12" s="241" t="n"/>
      <c r="L12" s="245" t="n"/>
      <c r="M12" s="223" t="n"/>
      <c r="N12" s="223" t="inlineStr"/>
    </row>
    <row r="13" ht="30" customHeight="1">
      <c r="A13" s="223" t="n"/>
      <c r="B13" s="241" t="n"/>
      <c r="C13" s="241" t="n"/>
      <c r="D13" s="241" t="n"/>
      <c r="E13" s="245" t="n"/>
      <c r="F13" s="241" t="n"/>
      <c r="G13" s="241" t="n"/>
      <c r="H13" s="241" t="n"/>
      <c r="I13" s="241" t="n"/>
      <c r="J13" s="245" t="n"/>
      <c r="K13" s="241" t="n"/>
      <c r="L13" s="245" t="n"/>
      <c r="M13" s="223" t="n"/>
      <c r="N13" s="223" t="n"/>
    </row>
    <row r="14" ht="30" customHeight="1">
      <c r="A14" s="223" t="n"/>
      <c r="B14" s="241" t="n"/>
      <c r="C14" s="241" t="n"/>
      <c r="D14" s="241" t="n"/>
      <c r="E14" s="245" t="n"/>
      <c r="F14" s="241" t="n"/>
      <c r="G14" s="241" t="n"/>
      <c r="H14" s="241" t="n"/>
      <c r="I14" s="241" t="n"/>
      <c r="J14" s="245" t="n"/>
      <c r="K14" s="241" t="n"/>
      <c r="L14" s="245" t="n"/>
      <c r="M14" s="223" t="n"/>
      <c r="N14" s="223" t="n"/>
    </row>
    <row r="15" ht="30" customHeight="1">
      <c r="A15" s="223" t="n"/>
      <c r="B15" s="241" t="n"/>
      <c r="C15" s="241" t="n"/>
      <c r="D15" s="241" t="n"/>
      <c r="E15" s="245" t="n"/>
      <c r="F15" s="241" t="n"/>
      <c r="G15" s="241" t="n"/>
      <c r="H15" s="241" t="n"/>
      <c r="I15" s="241" t="n"/>
      <c r="J15" s="245" t="n"/>
      <c r="K15" s="241" t="n"/>
      <c r="L15" s="245" t="n"/>
      <c r="M15" s="223" t="n"/>
      <c r="N15" s="223" t="inlineStr"/>
    </row>
    <row r="16" ht="30" customHeight="1">
      <c r="A16" s="225" t="n"/>
      <c r="B16" s="246" t="n"/>
      <c r="C16" s="246" t="n"/>
      <c r="D16" s="246" t="n"/>
      <c r="E16" s="247" t="n"/>
      <c r="F16" s="246" t="n"/>
      <c r="G16" s="246" t="n"/>
      <c r="H16" s="246" t="n"/>
      <c r="I16" s="246" t="n"/>
      <c r="J16" s="247" t="n"/>
      <c r="K16" s="246" t="n"/>
      <c r="L16" s="247" t="n"/>
      <c r="M16" s="225" t="n"/>
      <c r="N16" s="225" t="n"/>
    </row>
    <row r="17" ht="30" customHeight="1">
      <c r="A17" s="225" t="n"/>
      <c r="B17" s="246" t="n"/>
      <c r="C17" s="246" t="n"/>
      <c r="D17" s="246" t="n"/>
      <c r="E17" s="247" t="n"/>
      <c r="F17" s="246" t="n"/>
      <c r="G17" s="246" t="n"/>
      <c r="H17" s="246" t="n"/>
      <c r="I17" s="246" t="n"/>
      <c r="J17" s="247" t="n"/>
      <c r="K17" s="246" t="n"/>
      <c r="L17" s="247" t="n"/>
      <c r="M17" s="225" t="n"/>
      <c r="N17" s="225" t="n"/>
    </row>
    <row r="18" ht="30" customHeight="1">
      <c r="A18" s="225" t="n"/>
      <c r="B18" s="246" t="n"/>
      <c r="C18" s="246" t="n"/>
      <c r="D18" s="246" t="n"/>
      <c r="E18" s="247" t="n"/>
      <c r="F18" s="246" t="n"/>
      <c r="G18" s="246" t="n"/>
      <c r="H18" s="246" t="n"/>
      <c r="I18" s="246" t="n"/>
      <c r="J18" s="247" t="n"/>
      <c r="K18" s="246" t="n"/>
      <c r="L18" s="247" t="n"/>
      <c r="M18" s="225" t="n"/>
      <c r="N18" s="225" t="n"/>
    </row>
    <row r="19" ht="30" customHeight="1">
      <c r="A19" s="225" t="n"/>
      <c r="B19" s="246" t="n"/>
      <c r="C19" s="246" t="n"/>
      <c r="D19" s="246" t="n"/>
      <c r="E19" s="247" t="n"/>
      <c r="F19" s="246" t="n"/>
      <c r="G19" s="246" t="n"/>
      <c r="H19" s="246" t="n"/>
      <c r="I19" s="246" t="n"/>
      <c r="J19" s="247" t="n"/>
      <c r="K19" s="246" t="n"/>
      <c r="L19" s="247" t="n"/>
      <c r="M19" s="225" t="n"/>
      <c r="N19" s="225" t="n"/>
    </row>
    <row r="20" ht="30" customHeight="1">
      <c r="A20" s="225" t="n"/>
      <c r="B20" s="246" t="n"/>
      <c r="C20" s="246" t="n"/>
      <c r="D20" s="246" t="n"/>
      <c r="E20" s="247" t="n"/>
      <c r="F20" s="246" t="n"/>
      <c r="G20" s="246" t="n"/>
      <c r="H20" s="246" t="n"/>
      <c r="I20" s="246" t="n"/>
      <c r="J20" s="247" t="n"/>
      <c r="K20" s="246" t="n"/>
      <c r="L20" s="247" t="n"/>
      <c r="M20" s="225" t="n"/>
      <c r="N20" s="225" t="n"/>
    </row>
    <row r="21" ht="30" customHeight="1">
      <c r="A21" s="225" t="n"/>
      <c r="B21" s="246" t="n"/>
      <c r="C21" s="246" t="n"/>
      <c r="D21" s="246" t="n"/>
      <c r="E21" s="247" t="n"/>
      <c r="F21" s="246" t="n"/>
      <c r="G21" s="246" t="n"/>
      <c r="H21" s="246" t="n"/>
      <c r="I21" s="246" t="n"/>
      <c r="J21" s="247" t="n"/>
      <c r="K21" s="246" t="n"/>
      <c r="L21" s="247" t="n"/>
      <c r="M21" s="225" t="n"/>
      <c r="N21" s="225" t="n"/>
    </row>
    <row r="22" ht="30" customHeight="1">
      <c r="A22" s="225" t="n"/>
      <c r="B22" s="246" t="n"/>
      <c r="C22" s="246" t="n"/>
      <c r="D22" s="246" t="n"/>
      <c r="E22" s="247" t="n"/>
      <c r="F22" s="246" t="n"/>
      <c r="G22" s="246" t="n"/>
      <c r="H22" s="246" t="n"/>
      <c r="I22" s="246" t="n"/>
      <c r="J22" s="247" t="n"/>
      <c r="K22" s="246" t="n"/>
      <c r="L22" s="247" t="n"/>
      <c r="M22" s="225" t="n"/>
      <c r="N22" s="225" t="n"/>
    </row>
    <row r="23" ht="30" customHeight="1">
      <c r="A23" s="225" t="n"/>
      <c r="B23" s="246" t="n"/>
      <c r="C23" s="246" t="n"/>
      <c r="D23" s="246" t="n"/>
      <c r="E23" s="247" t="n"/>
      <c r="F23" s="246" t="n"/>
      <c r="G23" s="246" t="n"/>
      <c r="H23" s="246" t="n"/>
      <c r="I23" s="246" t="n"/>
      <c r="J23" s="247" t="n"/>
      <c r="K23" s="246" t="n"/>
      <c r="L23" s="247" t="n"/>
      <c r="M23" s="225" t="n"/>
      <c r="N23" s="225" t="n"/>
    </row>
    <row r="24" ht="30" customHeight="1">
      <c r="A24" s="225" t="n"/>
      <c r="B24" s="246" t="n"/>
      <c r="C24" s="246" t="n"/>
      <c r="D24" s="246" t="n"/>
      <c r="E24" s="247" t="n"/>
      <c r="F24" s="246" t="n"/>
      <c r="G24" s="246" t="n"/>
      <c r="H24" s="246" t="n"/>
      <c r="I24" s="246" t="n"/>
      <c r="J24" s="247" t="n"/>
      <c r="K24" s="246" t="n"/>
      <c r="L24" s="247" t="n"/>
      <c r="M24" s="225" t="n"/>
      <c r="N24" s="225" t="n"/>
    </row>
    <row r="25" ht="30" customHeight="1">
      <c r="A25" s="225" t="n"/>
      <c r="B25" s="246" t="n"/>
      <c r="C25" s="246" t="n"/>
      <c r="D25" s="246" t="n"/>
      <c r="E25" s="247" t="n"/>
      <c r="F25" s="246" t="n"/>
      <c r="G25" s="246" t="n"/>
      <c r="H25" s="246" t="n"/>
      <c r="I25" s="246" t="n"/>
      <c r="J25" s="247" t="n"/>
      <c r="K25" s="246" t="n"/>
      <c r="L25" s="247" t="n"/>
      <c r="M25" s="225" t="n"/>
      <c r="N25" s="225" t="n"/>
    </row>
    <row r="26" ht="30" customHeight="1">
      <c r="A26" s="225" t="n"/>
      <c r="B26" s="246" t="n"/>
      <c r="C26" s="246" t="n"/>
      <c r="D26" s="246" t="n"/>
      <c r="E26" s="247" t="n"/>
      <c r="F26" s="246" t="n"/>
      <c r="G26" s="246" t="n"/>
      <c r="H26" s="246" t="n"/>
      <c r="I26" s="246" t="n"/>
      <c r="J26" s="247" t="n"/>
      <c r="K26" s="246" t="n"/>
      <c r="L26" s="247" t="n"/>
      <c r="M26" s="225" t="n"/>
      <c r="N26" s="225" t="n"/>
    </row>
    <row r="27" ht="30" customHeight="1">
      <c r="A27" s="225" t="n"/>
      <c r="B27" s="246" t="n"/>
      <c r="C27" s="246" t="n"/>
      <c r="D27" s="246" t="n"/>
      <c r="E27" s="247" t="n"/>
      <c r="F27" s="246" t="n"/>
      <c r="G27" s="246" t="n"/>
      <c r="H27" s="246" t="n"/>
      <c r="I27" s="246" t="n"/>
      <c r="J27" s="247" t="n"/>
      <c r="K27" s="246" t="n"/>
      <c r="L27" s="247" t="n"/>
      <c r="M27" s="225" t="n"/>
      <c r="N27" s="225" t="n"/>
    </row>
    <row r="28" ht="30" customHeight="1">
      <c r="A28" s="225" t="n"/>
      <c r="B28" s="246" t="n"/>
      <c r="C28" s="246" t="n"/>
      <c r="D28" s="246" t="n"/>
      <c r="E28" s="247" t="n"/>
      <c r="F28" s="246" t="n"/>
      <c r="G28" s="246" t="n"/>
      <c r="H28" s="246" t="n"/>
      <c r="I28" s="246" t="n"/>
      <c r="J28" s="247" t="n"/>
      <c r="K28" s="246" t="n"/>
      <c r="L28" s="247" t="n"/>
      <c r="M28" s="225" t="n"/>
      <c r="N28" s="225" t="n"/>
    </row>
    <row r="29" ht="30" customHeight="1">
      <c r="A29" s="225" t="n"/>
      <c r="B29" s="246" t="n"/>
      <c r="C29" s="246" t="n"/>
      <c r="D29" s="246" t="n"/>
      <c r="E29" s="247" t="n"/>
      <c r="F29" s="246" t="n"/>
      <c r="G29" s="246" t="n"/>
      <c r="H29" s="246" t="n"/>
      <c r="I29" s="246" t="n"/>
      <c r="J29" s="247" t="n"/>
      <c r="K29" s="246" t="n"/>
      <c r="L29" s="247" t="n"/>
      <c r="M29" s="225" t="n"/>
      <c r="N29" s="225" t="n"/>
    </row>
    <row r="30" ht="30" customHeight="1">
      <c r="A30" s="225" t="n"/>
      <c r="B30" s="246" t="n"/>
      <c r="C30" s="246" t="n"/>
      <c r="D30" s="246" t="n"/>
      <c r="E30" s="247" t="n"/>
      <c r="F30" s="246" t="n"/>
      <c r="G30" s="246" t="n"/>
      <c r="H30" s="246" t="n"/>
      <c r="I30" s="246" t="n"/>
      <c r="J30" s="247" t="n"/>
      <c r="K30" s="246" t="n"/>
      <c r="L30" s="247" t="n"/>
      <c r="M30" s="225" t="n"/>
      <c r="N30" s="225" t="n"/>
    </row>
    <row r="31" ht="30" customHeight="1">
      <c r="A31" s="225" t="n"/>
      <c r="B31" s="246" t="n"/>
      <c r="C31" s="246" t="n"/>
      <c r="D31" s="246" t="n"/>
      <c r="E31" s="247" t="n"/>
      <c r="F31" s="246" t="n"/>
      <c r="G31" s="246" t="n"/>
      <c r="H31" s="246" t="n"/>
      <c r="I31" s="246" t="n"/>
      <c r="J31" s="247" t="n"/>
      <c r="K31" s="246" t="n"/>
      <c r="L31" s="247" t="n"/>
      <c r="M31" s="225" t="n"/>
      <c r="N31" s="225" t="n"/>
    </row>
    <row r="32" ht="30" customHeight="1">
      <c r="A32" s="225" t="n"/>
      <c r="B32" s="246" t="n"/>
      <c r="C32" s="246" t="n"/>
      <c r="D32" s="246" t="n"/>
      <c r="E32" s="247" t="n"/>
      <c r="F32" s="246" t="n"/>
      <c r="G32" s="246" t="n"/>
      <c r="H32" s="246" t="n"/>
      <c r="I32" s="246" t="n"/>
      <c r="J32" s="247" t="n"/>
      <c r="K32" s="246" t="n"/>
      <c r="L32" s="247" t="n"/>
      <c r="M32" s="225" t="n"/>
      <c r="N32" s="225" t="n"/>
    </row>
    <row r="33" ht="30" customHeight="1">
      <c r="A33" s="225" t="n"/>
      <c r="B33" s="246" t="n"/>
      <c r="C33" s="246" t="n"/>
      <c r="D33" s="246" t="n"/>
      <c r="E33" s="247" t="n"/>
      <c r="F33" s="246" t="n"/>
      <c r="G33" s="246" t="n"/>
      <c r="H33" s="246" t="n"/>
      <c r="I33" s="246" t="n"/>
      <c r="J33" s="247" t="n"/>
      <c r="K33" s="246" t="n"/>
      <c r="L33" s="247" t="n"/>
      <c r="M33" s="225" t="n"/>
      <c r="N33" s="225" t="n"/>
    </row>
    <row r="34" ht="30" customHeight="1">
      <c r="A34" s="225" t="n"/>
      <c r="B34" s="246" t="n"/>
      <c r="C34" s="246" t="n"/>
      <c r="D34" s="246" t="n"/>
      <c r="E34" s="247" t="n"/>
      <c r="F34" s="246" t="n"/>
      <c r="G34" s="246" t="n"/>
      <c r="H34" s="246" t="n"/>
      <c r="I34" s="246" t="n"/>
      <c r="J34" s="247" t="n"/>
      <c r="K34" s="246" t="n"/>
      <c r="L34" s="247" t="n"/>
      <c r="M34" s="225" t="n"/>
      <c r="N34" s="225" t="n"/>
    </row>
    <row r="35" ht="30" customHeight="1">
      <c r="A35" s="225" t="n"/>
      <c r="B35" s="246" t="n"/>
      <c r="C35" s="246" t="n"/>
      <c r="D35" s="246" t="n"/>
      <c r="E35" s="247" t="n"/>
      <c r="F35" s="246" t="n"/>
      <c r="G35" s="246" t="n"/>
      <c r="H35" s="246" t="n"/>
      <c r="I35" s="246" t="n"/>
      <c r="J35" s="247" t="n"/>
      <c r="K35" s="246" t="n"/>
      <c r="L35" s="247" t="n"/>
      <c r="M35" s="225" t="n"/>
      <c r="N35" s="225" t="n"/>
    </row>
    <row r="36" ht="30" customHeight="1">
      <c r="A36" s="225" t="n"/>
      <c r="B36" s="246" t="n"/>
      <c r="C36" s="246" t="n"/>
      <c r="D36" s="246" t="n"/>
      <c r="E36" s="247" t="n"/>
      <c r="F36" s="246" t="n"/>
      <c r="G36" s="246" t="n"/>
      <c r="H36" s="246" t="n"/>
      <c r="I36" s="246" t="n"/>
      <c r="J36" s="247" t="n"/>
      <c r="K36" s="246" t="n"/>
      <c r="L36" s="247" t="n"/>
      <c r="M36" s="225" t="n"/>
      <c r="N36" s="225" t="n"/>
    </row>
    <row r="37" ht="30" customHeight="1">
      <c r="A37" s="225" t="n"/>
      <c r="B37" s="246" t="n"/>
      <c r="C37" s="246" t="n"/>
      <c r="D37" s="246" t="n"/>
      <c r="E37" s="247" t="n"/>
      <c r="F37" s="246" t="n"/>
      <c r="G37" s="246" t="n"/>
      <c r="H37" s="246" t="n"/>
      <c r="I37" s="246" t="n"/>
      <c r="J37" s="247" t="n"/>
      <c r="K37" s="246" t="n"/>
      <c r="L37" s="247" t="n"/>
      <c r="M37" s="225" t="n"/>
      <c r="N37" s="225" t="n"/>
    </row>
    <row r="38" ht="30" customHeight="1">
      <c r="A38" s="225" t="n"/>
      <c r="B38" s="246" t="n"/>
      <c r="C38" s="246" t="n"/>
      <c r="D38" s="246" t="n"/>
      <c r="E38" s="247" t="n"/>
      <c r="F38" s="246" t="n"/>
      <c r="G38" s="246" t="n"/>
      <c r="H38" s="246" t="n"/>
      <c r="I38" s="246" t="n"/>
      <c r="J38" s="247" t="n"/>
      <c r="K38" s="246" t="n"/>
      <c r="L38" s="247" t="n"/>
      <c r="M38" s="225" t="n"/>
      <c r="N38" s="225" t="n"/>
    </row>
    <row r="39" ht="30" customHeight="1">
      <c r="A39" s="225" t="n"/>
      <c r="B39" s="246" t="n"/>
      <c r="C39" s="246" t="n"/>
      <c r="D39" s="246" t="n"/>
      <c r="E39" s="247" t="n"/>
      <c r="F39" s="246" t="n"/>
      <c r="G39" s="246" t="n"/>
      <c r="H39" s="246" t="n"/>
      <c r="I39" s="246" t="n"/>
      <c r="J39" s="247" t="n"/>
      <c r="K39" s="246" t="n"/>
      <c r="L39" s="247" t="n"/>
      <c r="M39" s="225" t="n"/>
      <c r="N39" s="225" t="n"/>
    </row>
    <row r="40" ht="30" customHeight="1">
      <c r="A40" s="225" t="n"/>
      <c r="B40" s="246" t="n"/>
      <c r="C40" s="246" t="n"/>
      <c r="D40" s="246" t="n"/>
      <c r="E40" s="247" t="n"/>
      <c r="F40" s="246" t="n"/>
      <c r="G40" s="246" t="n"/>
      <c r="H40" s="246" t="n"/>
      <c r="I40" s="246" t="n"/>
      <c r="J40" s="247" t="n"/>
      <c r="K40" s="246" t="n"/>
      <c r="L40" s="247" t="n"/>
      <c r="M40" s="225" t="n"/>
      <c r="N40" s="225" t="n"/>
    </row>
    <row r="41" ht="30" customHeight="1">
      <c r="A41" s="225" t="n"/>
      <c r="B41" s="246" t="n"/>
      <c r="C41" s="246" t="n"/>
      <c r="D41" s="246" t="n"/>
      <c r="E41" s="247" t="n"/>
      <c r="F41" s="246" t="n"/>
      <c r="G41" s="246" t="n"/>
      <c r="H41" s="246" t="n"/>
      <c r="I41" s="246" t="n"/>
      <c r="J41" s="247" t="n"/>
      <c r="K41" s="246" t="n"/>
      <c r="L41" s="247" t="n"/>
      <c r="M41" s="225" t="n"/>
      <c r="N41" s="225" t="n"/>
    </row>
    <row r="42" ht="30" customHeight="1">
      <c r="A42" s="225" t="n"/>
      <c r="B42" s="246" t="n"/>
      <c r="C42" s="246" t="n"/>
      <c r="D42" s="246" t="n"/>
      <c r="E42" s="247" t="n"/>
      <c r="F42" s="246" t="n"/>
      <c r="G42" s="246" t="n"/>
      <c r="H42" s="246" t="n"/>
      <c r="I42" s="246" t="n"/>
      <c r="J42" s="247" t="n"/>
      <c r="K42" s="246" t="n"/>
      <c r="L42" s="247" t="n"/>
      <c r="M42" s="225" t="n"/>
      <c r="N42" s="225" t="n"/>
    </row>
    <row r="43" ht="30" customHeight="1">
      <c r="A43" s="225" t="n"/>
      <c r="B43" s="246" t="n"/>
      <c r="C43" s="246" t="n"/>
      <c r="D43" s="246" t="n"/>
      <c r="E43" s="247" t="n"/>
      <c r="F43" s="246" t="n"/>
      <c r="G43" s="246" t="n"/>
      <c r="H43" s="246" t="n"/>
      <c r="I43" s="246" t="n"/>
      <c r="J43" s="247" t="n"/>
      <c r="K43" s="246" t="n"/>
      <c r="L43" s="247" t="n"/>
      <c r="M43" s="225" t="n"/>
      <c r="N43" s="225" t="n"/>
    </row>
    <row r="44" ht="30" customHeight="1">
      <c r="A44" s="225" t="n"/>
      <c r="B44" s="246" t="n"/>
      <c r="C44" s="246" t="n"/>
      <c r="D44" s="246" t="n"/>
      <c r="E44" s="247" t="n"/>
      <c r="F44" s="246" t="n"/>
      <c r="G44" s="246" t="n"/>
      <c r="H44" s="246" t="n"/>
      <c r="I44" s="246" t="n"/>
      <c r="J44" s="247" t="n"/>
      <c r="K44" s="246" t="n"/>
      <c r="L44" s="247" t="n"/>
      <c r="M44" s="225" t="n"/>
      <c r="N44" s="225" t="n"/>
    </row>
    <row r="45" ht="30" customHeight="1">
      <c r="A45" s="225" t="n"/>
      <c r="B45" s="246" t="n"/>
      <c r="C45" s="246" t="n"/>
      <c r="D45" s="246" t="n"/>
      <c r="E45" s="247" t="n"/>
      <c r="F45" s="246" t="n"/>
      <c r="G45" s="246" t="n"/>
      <c r="H45" s="246" t="n"/>
      <c r="I45" s="246" t="n"/>
      <c r="J45" s="247" t="n"/>
      <c r="K45" s="246" t="n"/>
      <c r="L45" s="247" t="n"/>
      <c r="M45" s="225" t="n"/>
      <c r="N45" s="225" t="n"/>
    </row>
    <row r="46">
      <c r="A46" s="230" t="n"/>
      <c r="B46" s="230" t="n"/>
      <c r="C46" s="230" t="n"/>
      <c r="D46" s="230" t="n"/>
      <c r="E46" s="230" t="n"/>
      <c r="F46" s="230" t="n"/>
      <c r="G46" s="230" t="n"/>
      <c r="H46" s="230" t="n"/>
      <c r="I46" s="230" t="n"/>
      <c r="J46" s="230" t="n"/>
      <c r="K46" s="230" t="n"/>
      <c r="L46" s="230" t="n"/>
      <c r="M46" s="230" t="n"/>
      <c r="N46" s="230" t="n"/>
    </row>
    <row r="47">
      <c r="A47" s="230" t="n"/>
      <c r="B47" s="230" t="n"/>
      <c r="C47" s="230" t="n"/>
      <c r="D47" s="230" t="n"/>
      <c r="E47" s="230" t="n"/>
      <c r="F47" s="230" t="n"/>
      <c r="G47" s="230" t="n"/>
      <c r="H47" s="230" t="n"/>
      <c r="I47" s="230" t="n"/>
      <c r="J47" s="230" t="n"/>
      <c r="K47" s="230" t="n"/>
      <c r="L47" s="230" t="n"/>
      <c r="M47" s="230" t="n"/>
      <c r="N47" s="230" t="n"/>
    </row>
    <row r="48">
      <c r="A48" s="230" t="n"/>
      <c r="B48" s="230" t="n"/>
      <c r="C48" s="230" t="n"/>
      <c r="D48" s="230" t="n"/>
      <c r="E48" s="230" t="n"/>
      <c r="F48" s="230" t="n"/>
      <c r="G48" s="230" t="n"/>
      <c r="H48" s="230" t="n"/>
      <c r="I48" s="230" t="n"/>
      <c r="J48" s="230" t="n"/>
      <c r="K48" s="230" t="n"/>
      <c r="L48" s="230" t="n"/>
      <c r="M48" s="230" t="n"/>
      <c r="N48" s="230" t="n"/>
    </row>
    <row r="49" hidden="1">
      <c r="A49" s="230" t="n"/>
      <c r="B49" s="230" t="n"/>
      <c r="C49" s="230" t="n"/>
      <c r="D49" s="230" t="n"/>
      <c r="E49" s="230" t="n"/>
      <c r="F49" s="230" t="n"/>
      <c r="G49" s="230" t="n"/>
      <c r="H49" s="230" t="n"/>
      <c r="I49" s="230" t="n"/>
      <c r="J49" s="230" t="n"/>
      <c r="K49" s="230" t="n"/>
      <c r="L49" s="230" t="n"/>
      <c r="M49" s="230" t="n"/>
      <c r="N49" s="230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0" t="n"/>
      <c r="B50" s="230" t="n"/>
      <c r="C50" s="230" t="n"/>
      <c r="D50" s="230" t="n"/>
      <c r="E50" s="230" t="n"/>
      <c r="F50" s="230" t="n"/>
      <c r="G50" s="230" t="n"/>
      <c r="H50" s="230" t="n"/>
      <c r="I50" s="230" t="n"/>
      <c r="J50" s="230" t="n"/>
      <c r="K50" s="230" t="n"/>
      <c r="L50" s="230" t="n"/>
      <c r="M50" s="230" t="n"/>
      <c r="N50" s="230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0" t="n"/>
      <c r="B51" s="230" t="n"/>
      <c r="C51" s="230" t="n"/>
      <c r="D51" s="230" t="n"/>
      <c r="E51" s="230" t="n"/>
      <c r="F51" s="230" t="n"/>
      <c r="G51" s="230" t="n"/>
      <c r="H51" s="230" t="n"/>
      <c r="I51" s="230" t="n"/>
      <c r="J51" s="230" t="n"/>
      <c r="K51" s="230" t="n"/>
      <c r="L51" s="230" t="n"/>
      <c r="M51" s="230" t="n"/>
      <c r="N51" s="230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0" t="n"/>
      <c r="B52" s="230" t="n"/>
      <c r="C52" s="230" t="n"/>
      <c r="D52" s="230" t="n"/>
      <c r="E52" s="230" t="n"/>
      <c r="F52" s="230" t="n"/>
      <c r="G52" s="230" t="n"/>
      <c r="H52" s="230" t="n"/>
      <c r="I52" s="230" t="n"/>
      <c r="J52" s="230" t="n"/>
      <c r="K52" s="230" t="n"/>
      <c r="L52" s="230" t="n"/>
      <c r="M52" s="230" t="n"/>
      <c r="N52" s="230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0" t="n"/>
      <c r="B53" s="230" t="n"/>
      <c r="C53" s="230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0" t="n"/>
      <c r="B54" s="230" t="n"/>
      <c r="C54" s="230" t="n"/>
      <c r="D54" s="230" t="n"/>
      <c r="E54" s="230" t="n"/>
      <c r="F54" s="230" t="n"/>
      <c r="G54" s="230" t="n"/>
      <c r="H54" s="230" t="n"/>
      <c r="I54" s="230" t="n"/>
      <c r="J54" s="230" t="n"/>
      <c r="K54" s="230" t="n"/>
      <c r="L54" s="230" t="n"/>
      <c r="M54" s="230" t="n"/>
      <c r="N54" s="230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0" t="n"/>
      <c r="B55" s="230" t="n"/>
      <c r="C55" s="230" t="n"/>
      <c r="D55" s="230" t="n"/>
      <c r="E55" s="230" t="n"/>
      <c r="F55" s="230" t="n"/>
      <c r="G55" s="230" t="n"/>
      <c r="H55" s="230" t="n"/>
      <c r="I55" s="230" t="n"/>
      <c r="J55" s="230" t="n"/>
      <c r="K55" s="230" t="n"/>
      <c r="L55" s="230" t="n"/>
      <c r="M55" s="230" t="n"/>
      <c r="N55" s="230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0" t="n"/>
      <c r="B56" s="230" t="n"/>
      <c r="C56" s="230" t="n"/>
      <c r="D56" s="230" t="n"/>
      <c r="E56" s="230" t="n"/>
      <c r="F56" s="230" t="n"/>
      <c r="G56" s="230" t="n"/>
      <c r="H56" s="230" t="n"/>
      <c r="I56" s="230" t="n"/>
      <c r="J56" s="230" t="n"/>
      <c r="K56" s="230" t="n"/>
      <c r="L56" s="230" t="n"/>
      <c r="M56" s="230" t="n"/>
      <c r="N56" s="230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0" t="n"/>
      <c r="B57" s="230" t="n"/>
      <c r="C57" s="230" t="n"/>
      <c r="D57" s="230" t="n"/>
      <c r="E57" s="230" t="n"/>
      <c r="F57" s="230" t="n"/>
      <c r="G57" s="230" t="n"/>
      <c r="H57" s="230" t="n"/>
      <c r="I57" s="230" t="n"/>
      <c r="J57" s="230" t="n"/>
      <c r="K57" s="230" t="n"/>
      <c r="L57" s="230" t="n"/>
      <c r="M57" s="230" t="n"/>
      <c r="N57" s="230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0" t="n"/>
      <c r="B58" s="230" t="n"/>
      <c r="C58" s="230" t="n"/>
      <c r="D58" s="230" t="n"/>
      <c r="E58" s="230" t="n"/>
      <c r="F58" s="230" t="n"/>
      <c r="G58" s="230" t="n"/>
      <c r="H58" s="230" t="n"/>
      <c r="I58" s="230" t="n"/>
      <c r="J58" s="230" t="n"/>
      <c r="K58" s="230" t="n"/>
      <c r="L58" s="230" t="n"/>
      <c r="M58" s="230" t="n"/>
      <c r="N58" s="230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0" t="n"/>
      <c r="B59" s="230" t="n"/>
      <c r="C59" s="230" t="n"/>
      <c r="D59" s="230" t="n"/>
      <c r="E59" s="230" t="n"/>
      <c r="F59" s="230" t="n"/>
      <c r="G59" s="230" t="n"/>
      <c r="H59" s="230" t="n"/>
      <c r="I59" s="230" t="n"/>
      <c r="J59" s="230" t="n"/>
      <c r="K59" s="230" t="n"/>
      <c r="L59" s="230" t="n"/>
      <c r="M59" s="230" t="n"/>
      <c r="N59" s="230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0" t="n"/>
      <c r="B60" s="230" t="n"/>
      <c r="C60" s="230" t="n"/>
      <c r="D60" s="230" t="n"/>
      <c r="E60" s="230" t="n"/>
      <c r="F60" s="230" t="n"/>
      <c r="G60" s="230" t="n"/>
      <c r="H60" s="230" t="n"/>
      <c r="I60" s="230" t="n"/>
      <c r="J60" s="230" t="n"/>
      <c r="K60" s="230" t="n"/>
      <c r="L60" s="230" t="n"/>
      <c r="M60" s="230" t="n"/>
      <c r="N60" s="230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0" t="n"/>
      <c r="B61" s="230" t="n"/>
      <c r="C61" s="230" t="n"/>
      <c r="D61" s="230" t="n"/>
      <c r="E61" s="230" t="n"/>
      <c r="F61" s="230" t="n"/>
      <c r="G61" s="230" t="n"/>
      <c r="H61" s="230" t="n"/>
      <c r="I61" s="230" t="n"/>
      <c r="J61" s="230" t="n"/>
      <c r="K61" s="230" t="n"/>
      <c r="L61" s="230" t="n"/>
      <c r="M61" s="230" t="n"/>
      <c r="N61" s="230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0" t="n"/>
      <c r="B62" s="230" t="n"/>
      <c r="C62" s="230" t="n"/>
      <c r="D62" s="230" t="n"/>
      <c r="E62" s="230" t="n"/>
      <c r="F62" s="230" t="n"/>
      <c r="G62" s="230" t="n"/>
      <c r="H62" s="230" t="n"/>
      <c r="I62" s="230" t="n"/>
      <c r="J62" s="230" t="n"/>
      <c r="K62" s="230" t="n"/>
      <c r="L62" s="230" t="n"/>
      <c r="M62" s="230" t="n"/>
      <c r="N62" s="230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0" t="n"/>
      <c r="B63" s="230" t="n"/>
      <c r="C63" s="230" t="n"/>
      <c r="D63" s="230" t="n"/>
      <c r="E63" s="230" t="n"/>
      <c r="F63" s="230" t="n"/>
      <c r="G63" s="230" t="n"/>
      <c r="H63" s="230" t="n"/>
      <c r="I63" s="230" t="n"/>
      <c r="J63" s="230" t="n"/>
      <c r="K63" s="230" t="n"/>
      <c r="L63" s="230" t="n"/>
      <c r="M63" s="230" t="n"/>
      <c r="N63" s="230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0" t="n"/>
      <c r="B64" s="230" t="n"/>
      <c r="C64" s="230" t="n"/>
      <c r="D64" s="230" t="n"/>
      <c r="E64" s="230" t="n"/>
      <c r="F64" s="230" t="n"/>
      <c r="G64" s="230" t="n"/>
      <c r="H64" s="230" t="n"/>
      <c r="I64" s="230" t="n"/>
      <c r="J64" s="230" t="n"/>
      <c r="K64" s="230" t="n"/>
      <c r="L64" s="230" t="n"/>
      <c r="M64" s="230" t="n"/>
      <c r="N64" s="230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0" t="n"/>
      <c r="B65" s="230" t="n"/>
      <c r="C65" s="230" t="n"/>
      <c r="D65" s="230" t="n"/>
      <c r="E65" s="230" t="n"/>
      <c r="F65" s="230" t="n"/>
      <c r="G65" s="230" t="n"/>
      <c r="H65" s="230" t="n"/>
      <c r="I65" s="230" t="n"/>
      <c r="J65" s="230" t="n"/>
      <c r="K65" s="230" t="n"/>
      <c r="L65" s="230" t="n"/>
      <c r="M65" s="230" t="n"/>
      <c r="N65" s="230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0" t="n"/>
      <c r="B66" s="230" t="n"/>
      <c r="C66" s="230" t="n"/>
      <c r="D66" s="230" t="n"/>
      <c r="E66" s="230" t="n"/>
      <c r="F66" s="230" t="n"/>
      <c r="G66" s="230" t="n"/>
      <c r="H66" s="230" t="n"/>
      <c r="I66" s="230" t="n"/>
      <c r="J66" s="230" t="n"/>
      <c r="K66" s="230" t="n"/>
      <c r="L66" s="230" t="n"/>
      <c r="M66" s="230" t="n"/>
      <c r="N66" s="230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0" t="n"/>
      <c r="B67" s="230" t="n"/>
      <c r="C67" s="230" t="n"/>
      <c r="D67" s="230" t="n"/>
      <c r="E67" s="230" t="n"/>
      <c r="F67" s="230" t="n"/>
      <c r="G67" s="230" t="n"/>
      <c r="H67" s="230" t="n"/>
      <c r="I67" s="230" t="n"/>
      <c r="J67" s="230" t="n"/>
      <c r="K67" s="230" t="n"/>
      <c r="L67" s="230" t="n"/>
      <c r="M67" s="230" t="n"/>
      <c r="N67" s="230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0" t="n"/>
      <c r="B68" s="230" t="n"/>
      <c r="C68" s="230" t="n"/>
      <c r="D68" s="230" t="n"/>
      <c r="E68" s="230" t="n"/>
      <c r="F68" s="230" t="n"/>
      <c r="G68" s="230" t="n"/>
      <c r="H68" s="230" t="n"/>
      <c r="I68" s="230" t="n"/>
      <c r="J68" s="230" t="n"/>
      <c r="K68" s="230" t="n"/>
      <c r="L68" s="230" t="n"/>
      <c r="M68" s="230" t="n"/>
      <c r="N68" s="230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0" t="n"/>
      <c r="B69" s="230" t="n"/>
      <c r="C69" s="230" t="n"/>
      <c r="D69" s="230" t="n"/>
      <c r="E69" s="230" t="n"/>
      <c r="F69" s="230" t="n"/>
      <c r="G69" s="230" t="n"/>
      <c r="H69" s="230" t="n"/>
      <c r="I69" s="230" t="n"/>
      <c r="J69" s="230" t="n"/>
      <c r="K69" s="230" t="n"/>
      <c r="L69" s="230" t="n"/>
      <c r="M69" s="230" t="n"/>
      <c r="N69" s="230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0" t="n"/>
      <c r="B70" s="230" t="n"/>
      <c r="C70" s="230" t="n"/>
      <c r="D70" s="230" t="n"/>
      <c r="E70" s="230" t="n"/>
      <c r="F70" s="230" t="n"/>
      <c r="G70" s="230" t="n"/>
      <c r="H70" s="230" t="n"/>
      <c r="I70" s="230" t="n"/>
      <c r="J70" s="230" t="n"/>
      <c r="K70" s="230" t="n"/>
      <c r="L70" s="230" t="n"/>
      <c r="M70" s="230" t="n"/>
      <c r="N70" s="230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0" t="n"/>
      <c r="B71" s="230" t="n"/>
      <c r="C71" s="230" t="n"/>
      <c r="D71" s="230" t="n"/>
      <c r="E71" s="230" t="n"/>
      <c r="F71" s="230" t="n"/>
      <c r="G71" s="230" t="n"/>
      <c r="H71" s="230" t="n"/>
      <c r="I71" s="230" t="n"/>
      <c r="J71" s="230" t="n"/>
      <c r="K71" s="230" t="n"/>
      <c r="L71" s="230" t="n"/>
      <c r="M71" s="230" t="n"/>
      <c r="N71" s="230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0" t="n"/>
      <c r="B72" s="230" t="n"/>
      <c r="C72" s="230" t="n"/>
      <c r="D72" s="230" t="n"/>
      <c r="E72" s="230" t="n"/>
      <c r="F72" s="230" t="n"/>
      <c r="G72" s="230" t="n"/>
      <c r="H72" s="230" t="n"/>
      <c r="I72" s="230" t="n"/>
      <c r="J72" s="230" t="n"/>
      <c r="K72" s="230" t="n"/>
      <c r="L72" s="230" t="n"/>
      <c r="M72" s="230" t="n"/>
      <c r="N72" s="230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0" t="n"/>
      <c r="B73" s="230" t="n"/>
      <c r="C73" s="230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0" t="n"/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0" t="n"/>
      <c r="B75" s="230" t="n"/>
      <c r="C75" s="230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0" t="n"/>
      <c r="B76" s="230" t="n"/>
      <c r="C76" s="230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0" t="n"/>
      <c r="B77" s="230" t="n"/>
      <c r="C77" s="230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0" t="n"/>
      <c r="B78" s="230" t="n"/>
      <c r="C78" s="230" t="n"/>
      <c r="D78" s="230" t="n"/>
      <c r="E78" s="230" t="n"/>
      <c r="F78" s="230" t="n"/>
      <c r="G78" s="230" t="n"/>
      <c r="H78" s="230" t="n"/>
      <c r="I78" s="230" t="n"/>
      <c r="J78" s="230" t="n"/>
      <c r="K78" s="230" t="n"/>
      <c r="L78" s="230" t="n"/>
      <c r="M78" s="230" t="n"/>
      <c r="N78" s="230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0" t="n"/>
      <c r="B79" s="230" t="n"/>
      <c r="C79" s="230" t="n"/>
      <c r="D79" s="230" t="n"/>
      <c r="E79" s="230" t="n"/>
      <c r="F79" s="230" t="n"/>
      <c r="G79" s="230" t="n"/>
      <c r="H79" s="230" t="n"/>
      <c r="I79" s="230" t="n"/>
      <c r="J79" s="230" t="n"/>
      <c r="K79" s="230" t="n"/>
      <c r="L79" s="230" t="n"/>
      <c r="M79" s="230" t="n"/>
      <c r="N79" s="230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0" t="n"/>
      <c r="B80" s="230" t="n"/>
      <c r="C80" s="230" t="n"/>
      <c r="D80" s="230" t="n"/>
      <c r="E80" s="230" t="n"/>
      <c r="F80" s="230" t="n"/>
      <c r="G80" s="230" t="n"/>
      <c r="H80" s="230" t="n"/>
      <c r="I80" s="230" t="n"/>
      <c r="J80" s="230" t="n"/>
      <c r="K80" s="230" t="n"/>
      <c r="L80" s="230" t="n"/>
      <c r="M80" s="230" t="n"/>
      <c r="N80" s="230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0" t="n"/>
      <c r="B81" s="230" t="n"/>
      <c r="C81" s="230" t="n"/>
      <c r="D81" s="230" t="n"/>
      <c r="E81" s="230" t="n"/>
      <c r="F81" s="230" t="n"/>
      <c r="G81" s="230" t="n"/>
      <c r="H81" s="230" t="n"/>
      <c r="I81" s="230" t="n"/>
      <c r="J81" s="230" t="n"/>
      <c r="K81" s="230" t="n"/>
      <c r="L81" s="230" t="n"/>
      <c r="M81" s="230" t="n"/>
      <c r="N81" s="230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0" t="n"/>
      <c r="B82" s="230" t="n"/>
      <c r="C82" s="230" t="n"/>
      <c r="D82" s="230" t="n"/>
      <c r="E82" s="230" t="n"/>
      <c r="F82" s="230" t="n"/>
      <c r="G82" s="230" t="n"/>
      <c r="H82" s="230" t="n"/>
      <c r="I82" s="230" t="n"/>
      <c r="J82" s="230" t="n"/>
      <c r="K82" s="230" t="n"/>
      <c r="L82" s="230" t="n"/>
      <c r="M82" s="230" t="n"/>
      <c r="N82" s="230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0" t="n"/>
      <c r="B83" s="230" t="n"/>
      <c r="C83" s="230" t="n"/>
      <c r="D83" s="230" t="n"/>
      <c r="E83" s="230" t="n"/>
      <c r="F83" s="230" t="n"/>
      <c r="G83" s="230" t="n"/>
      <c r="H83" s="230" t="n"/>
      <c r="I83" s="230" t="n"/>
      <c r="J83" s="230" t="n"/>
      <c r="K83" s="230" t="n"/>
      <c r="L83" s="230" t="n"/>
      <c r="M83" s="230" t="n"/>
      <c r="N83" s="230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0" t="n"/>
      <c r="B84" s="230" t="n"/>
      <c r="C84" s="230" t="n"/>
      <c r="D84" s="230" t="n"/>
      <c r="E84" s="230" t="n"/>
      <c r="F84" s="230" t="n"/>
      <c r="G84" s="230" t="n"/>
      <c r="H84" s="230" t="n"/>
      <c r="I84" s="230" t="n"/>
      <c r="J84" s="230" t="n"/>
      <c r="K84" s="230" t="n"/>
      <c r="L84" s="230" t="n"/>
      <c r="M84" s="230" t="n"/>
      <c r="N84" s="230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0" t="n"/>
      <c r="B85" s="230" t="n"/>
      <c r="C85" s="230" t="n"/>
      <c r="D85" s="230" t="n"/>
      <c r="E85" s="230" t="n"/>
      <c r="F85" s="230" t="n"/>
      <c r="G85" s="230" t="n"/>
      <c r="H85" s="230" t="n"/>
      <c r="I85" s="230" t="n"/>
      <c r="J85" s="230" t="n"/>
      <c r="K85" s="230" t="n"/>
      <c r="L85" s="230" t="n"/>
      <c r="M85" s="230" t="n"/>
      <c r="N85" s="230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0" t="n"/>
      <c r="B86" s="230" t="n"/>
      <c r="C86" s="230" t="n"/>
      <c r="D86" s="230" t="n"/>
      <c r="E86" s="230" t="n"/>
      <c r="F86" s="230" t="n"/>
      <c r="G86" s="230" t="n"/>
      <c r="H86" s="230" t="n"/>
      <c r="I86" s="230" t="n"/>
      <c r="J86" s="230" t="n"/>
      <c r="K86" s="230" t="n"/>
      <c r="L86" s="230" t="n"/>
      <c r="M86" s="230" t="n"/>
      <c r="N86" s="230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0" t="n"/>
      <c r="B87" s="230" t="n"/>
      <c r="C87" s="230" t="n"/>
      <c r="D87" s="230" t="n"/>
      <c r="E87" s="230" t="n"/>
      <c r="F87" s="230" t="n"/>
      <c r="G87" s="230" t="n"/>
      <c r="H87" s="230" t="n"/>
      <c r="I87" s="230" t="n"/>
      <c r="J87" s="230" t="n"/>
      <c r="K87" s="230" t="n"/>
      <c r="L87" s="230" t="n"/>
      <c r="M87" s="230" t="n"/>
      <c r="N87" s="230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0" t="n"/>
      <c r="B88" s="230" t="n"/>
      <c r="C88" s="230" t="n"/>
      <c r="D88" s="230" t="n"/>
      <c r="E88" s="230" t="n"/>
      <c r="F88" s="230" t="n"/>
      <c r="G88" s="230" t="n"/>
      <c r="H88" s="230" t="n"/>
      <c r="I88" s="230" t="n"/>
      <c r="J88" s="230" t="n"/>
      <c r="K88" s="230" t="n"/>
      <c r="L88" s="230" t="n"/>
      <c r="M88" s="230" t="n"/>
      <c r="N88" s="230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0" t="n"/>
      <c r="B89" s="230" t="n"/>
      <c r="C89" s="230" t="n"/>
      <c r="D89" s="230" t="n"/>
      <c r="E89" s="230" t="n"/>
      <c r="F89" s="230" t="n"/>
      <c r="G89" s="230" t="n"/>
      <c r="H89" s="230" t="n"/>
      <c r="I89" s="230" t="n"/>
      <c r="J89" s="230" t="n"/>
      <c r="K89" s="230" t="n"/>
      <c r="L89" s="230" t="n"/>
      <c r="M89" s="230" t="n"/>
      <c r="N89" s="230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0" t="n"/>
      <c r="B90" s="230" t="n"/>
      <c r="C90" s="230" t="n"/>
      <c r="D90" s="230" t="n"/>
      <c r="E90" s="230" t="n"/>
      <c r="F90" s="230" t="n"/>
      <c r="G90" s="230" t="n"/>
      <c r="H90" s="230" t="n"/>
      <c r="I90" s="230" t="n"/>
      <c r="J90" s="230" t="n"/>
      <c r="K90" s="230" t="n"/>
      <c r="L90" s="230" t="n"/>
      <c r="M90" s="230" t="n"/>
      <c r="N90" s="230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0" t="n"/>
      <c r="B91" s="230" t="n"/>
      <c r="C91" s="230" t="n"/>
      <c r="D91" s="230" t="n"/>
      <c r="E91" s="230" t="n"/>
      <c r="F91" s="230" t="n"/>
      <c r="G91" s="230" t="n"/>
      <c r="H91" s="230" t="n"/>
      <c r="I91" s="230" t="n"/>
      <c r="J91" s="230" t="n"/>
      <c r="K91" s="230" t="n"/>
      <c r="L91" s="230" t="n"/>
      <c r="M91" s="230" t="n"/>
      <c r="N91" s="230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0" t="n"/>
      <c r="B92" s="230" t="n"/>
      <c r="C92" s="230" t="n"/>
      <c r="D92" s="230" t="n"/>
      <c r="E92" s="230" t="n"/>
      <c r="F92" s="230" t="n"/>
      <c r="G92" s="230" t="n"/>
      <c r="H92" s="230" t="n"/>
      <c r="I92" s="230" t="n"/>
      <c r="J92" s="230" t="n"/>
      <c r="K92" s="230" t="n"/>
      <c r="L92" s="230" t="n"/>
      <c r="M92" s="230" t="n"/>
      <c r="N92" s="230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0" t="n"/>
      <c r="B93" s="230" t="n"/>
      <c r="C93" s="230" t="n"/>
      <c r="D93" s="230" t="n"/>
      <c r="E93" s="230" t="n"/>
      <c r="F93" s="230" t="n"/>
      <c r="G93" s="230" t="n"/>
      <c r="H93" s="230" t="n"/>
      <c r="I93" s="230" t="n"/>
      <c r="J93" s="230" t="n"/>
      <c r="K93" s="230" t="n"/>
      <c r="L93" s="230" t="n"/>
      <c r="M93" s="230" t="n"/>
      <c r="N93" s="230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0" t="n"/>
      <c r="B94" s="230" t="n"/>
      <c r="C94" s="230" t="n"/>
      <c r="D94" s="230" t="n"/>
      <c r="E94" s="230" t="n"/>
      <c r="F94" s="230" t="n"/>
      <c r="G94" s="230" t="n"/>
      <c r="H94" s="230" t="n"/>
      <c r="I94" s="230" t="n"/>
      <c r="J94" s="230" t="n"/>
      <c r="K94" s="230" t="n"/>
      <c r="L94" s="230" t="n"/>
      <c r="M94" s="230" t="n"/>
      <c r="N94" s="230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0" t="n"/>
      <c r="B95" s="230" t="n"/>
      <c r="C95" s="230" t="n"/>
      <c r="D95" s="230" t="n"/>
      <c r="E95" s="230" t="n"/>
      <c r="F95" s="230" t="n"/>
      <c r="G95" s="230" t="n"/>
      <c r="H95" s="230" t="n"/>
      <c r="I95" s="230" t="n"/>
      <c r="J95" s="230" t="n"/>
      <c r="K95" s="230" t="n"/>
      <c r="L95" s="230" t="n"/>
      <c r="M95" s="230" t="n"/>
      <c r="N95" s="230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0" t="n"/>
      <c r="B96" s="230" t="n"/>
      <c r="C96" s="230" t="n"/>
      <c r="D96" s="230" t="n"/>
      <c r="E96" s="230" t="n"/>
      <c r="F96" s="230" t="n"/>
      <c r="G96" s="230" t="n"/>
      <c r="H96" s="230" t="n"/>
      <c r="I96" s="230" t="n"/>
      <c r="J96" s="230" t="n"/>
      <c r="K96" s="230" t="n"/>
      <c r="L96" s="230" t="n"/>
      <c r="M96" s="230" t="n"/>
      <c r="N96" s="230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0" t="n"/>
      <c r="B97" s="230" t="n"/>
      <c r="C97" s="230" t="n"/>
      <c r="D97" s="230" t="n"/>
      <c r="E97" s="230" t="n"/>
      <c r="F97" s="230" t="n"/>
      <c r="G97" s="230" t="n"/>
      <c r="H97" s="230" t="n"/>
      <c r="I97" s="230" t="n"/>
      <c r="J97" s="230" t="n"/>
      <c r="K97" s="230" t="n"/>
      <c r="L97" s="230" t="n"/>
      <c r="M97" s="230" t="n"/>
      <c r="N97" s="230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0" t="n"/>
      <c r="B98" s="230" t="n"/>
      <c r="C98" s="230" t="n"/>
      <c r="D98" s="230" t="n"/>
      <c r="E98" s="230" t="n"/>
      <c r="F98" s="230" t="n"/>
      <c r="G98" s="230" t="n"/>
      <c r="H98" s="230" t="n"/>
      <c r="I98" s="230" t="n"/>
      <c r="J98" s="230" t="n"/>
      <c r="K98" s="230" t="n"/>
      <c r="L98" s="230" t="n"/>
      <c r="M98" s="230" t="n"/>
      <c r="N98" s="230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0" t="n"/>
      <c r="B99" s="230" t="n"/>
      <c r="C99" s="230" t="n"/>
      <c r="D99" s="230" t="n"/>
      <c r="E99" s="230" t="n"/>
      <c r="F99" s="230" t="n"/>
      <c r="G99" s="230" t="n"/>
      <c r="H99" s="230" t="n"/>
      <c r="I99" s="230" t="n"/>
      <c r="J99" s="230" t="n"/>
      <c r="K99" s="230" t="n"/>
      <c r="L99" s="230" t="n"/>
      <c r="M99" s="230" t="n"/>
      <c r="N99" s="230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0" t="n"/>
      <c r="B100" s="230" t="n"/>
      <c r="C100" s="230" t="n"/>
      <c r="D100" s="230" t="n"/>
      <c r="E100" s="230" t="n"/>
      <c r="F100" s="230" t="n"/>
      <c r="G100" s="230" t="n"/>
      <c r="H100" s="230" t="n"/>
      <c r="I100" s="230" t="n"/>
      <c r="J100" s="230" t="n"/>
      <c r="K100" s="230" t="n"/>
      <c r="L100" s="230" t="n"/>
      <c r="M100" s="230" t="n"/>
      <c r="N100" s="230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0" t="n"/>
      <c r="B101" s="230" t="n"/>
      <c r="C101" s="230" t="n"/>
      <c r="D101" s="230" t="n"/>
      <c r="E101" s="230" t="n"/>
      <c r="F101" s="230" t="n"/>
      <c r="G101" s="230" t="n"/>
      <c r="H101" s="230" t="n"/>
      <c r="I101" s="230" t="n"/>
      <c r="J101" s="230" t="n"/>
      <c r="K101" s="230" t="n"/>
      <c r="L101" s="230" t="n"/>
      <c r="M101" s="230" t="n"/>
      <c r="N101" s="230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0" t="n"/>
      <c r="B102" s="230" t="n"/>
      <c r="C102" s="230" t="n"/>
      <c r="D102" s="230" t="n"/>
      <c r="E102" s="230" t="n"/>
      <c r="F102" s="230" t="n"/>
      <c r="G102" s="230" t="n"/>
      <c r="H102" s="230" t="n"/>
      <c r="I102" s="230" t="n"/>
      <c r="J102" s="230" t="n"/>
      <c r="K102" s="230" t="n"/>
      <c r="L102" s="230" t="n"/>
      <c r="M102" s="230" t="n"/>
      <c r="N102" s="230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0" t="n"/>
      <c r="B103" s="230" t="n"/>
      <c r="C103" s="230" t="n"/>
      <c r="D103" s="230" t="n"/>
      <c r="E103" s="230" t="n"/>
      <c r="F103" s="230" t="n"/>
      <c r="G103" s="230" t="n"/>
      <c r="H103" s="230" t="n"/>
      <c r="I103" s="230" t="n"/>
      <c r="J103" s="230" t="n"/>
      <c r="K103" s="230" t="n"/>
      <c r="L103" s="230" t="n"/>
      <c r="M103" s="230" t="n"/>
      <c r="N103" s="230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0" t="n"/>
      <c r="B104" s="230" t="n"/>
      <c r="C104" s="230" t="n"/>
      <c r="D104" s="230" t="n"/>
      <c r="E104" s="230" t="n"/>
      <c r="F104" s="230" t="n"/>
      <c r="G104" s="230" t="n"/>
      <c r="H104" s="230" t="n"/>
      <c r="I104" s="230" t="n"/>
      <c r="J104" s="230" t="n"/>
      <c r="K104" s="230" t="n"/>
      <c r="L104" s="230" t="n"/>
      <c r="M104" s="230" t="n"/>
      <c r="N104" s="230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0" t="n"/>
      <c r="B105" s="230" t="n"/>
      <c r="C105" s="230" t="n"/>
      <c r="D105" s="230" t="n"/>
      <c r="E105" s="230" t="n"/>
      <c r="F105" s="230" t="n"/>
      <c r="G105" s="230" t="n"/>
      <c r="H105" s="230" t="n"/>
      <c r="I105" s="230" t="n"/>
      <c r="J105" s="230" t="n"/>
      <c r="K105" s="230" t="n"/>
      <c r="L105" s="230" t="n"/>
      <c r="M105" s="230" t="n"/>
      <c r="N105" s="230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0" t="n"/>
      <c r="B106" s="230" t="n"/>
      <c r="C106" s="230" t="n"/>
      <c r="D106" s="230" t="n"/>
      <c r="E106" s="230" t="n"/>
      <c r="F106" s="230" t="n"/>
      <c r="G106" s="230" t="n"/>
      <c r="H106" s="230" t="n"/>
      <c r="I106" s="230" t="n"/>
      <c r="J106" s="230" t="n"/>
      <c r="K106" s="230" t="n"/>
      <c r="L106" s="230" t="n"/>
      <c r="M106" s="230" t="n"/>
      <c r="N106" s="230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0" t="n"/>
      <c r="B107" s="230" t="n"/>
      <c r="C107" s="230" t="n"/>
      <c r="D107" s="230" t="n"/>
      <c r="E107" s="230" t="n"/>
      <c r="F107" s="230" t="n"/>
      <c r="G107" s="230" t="n"/>
      <c r="H107" s="230" t="n"/>
      <c r="I107" s="230" t="n"/>
      <c r="J107" s="230" t="n"/>
      <c r="K107" s="230" t="n"/>
      <c r="L107" s="230" t="n"/>
      <c r="M107" s="230" t="n"/>
      <c r="N107" s="230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0" t="n"/>
      <c r="B108" s="230" t="n"/>
      <c r="C108" s="230" t="n"/>
      <c r="D108" s="230" t="n"/>
      <c r="E108" s="230" t="n"/>
      <c r="F108" s="230" t="n"/>
      <c r="G108" s="230" t="n"/>
      <c r="H108" s="230" t="n"/>
      <c r="I108" s="230" t="n"/>
      <c r="J108" s="230" t="n"/>
      <c r="K108" s="230" t="n"/>
      <c r="L108" s="230" t="n"/>
      <c r="M108" s="230" t="n"/>
      <c r="N108" s="230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0" t="n"/>
      <c r="B109" s="230" t="n"/>
      <c r="C109" s="230" t="n"/>
      <c r="D109" s="230" t="n"/>
      <c r="E109" s="230" t="n"/>
      <c r="F109" s="230" t="n"/>
      <c r="G109" s="230" t="n"/>
      <c r="H109" s="230" t="n"/>
      <c r="I109" s="230" t="n"/>
      <c r="J109" s="230" t="n"/>
      <c r="K109" s="230" t="n"/>
      <c r="L109" s="230" t="n"/>
      <c r="M109" s="230" t="n"/>
      <c r="N109" s="230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0" t="n"/>
      <c r="B110" s="230" t="n"/>
      <c r="C110" s="230" t="n"/>
      <c r="D110" s="230" t="n"/>
      <c r="E110" s="230" t="n"/>
      <c r="F110" s="230" t="n"/>
      <c r="G110" s="230" t="n"/>
      <c r="H110" s="230" t="n"/>
      <c r="I110" s="230" t="n"/>
      <c r="J110" s="230" t="n"/>
      <c r="K110" s="230" t="n"/>
      <c r="L110" s="230" t="n"/>
      <c r="M110" s="230" t="n"/>
      <c r="N110" s="230" t="n"/>
    </row>
    <row r="111">
      <c r="A111" s="230" t="n"/>
      <c r="B111" s="230" t="n"/>
      <c r="C111" s="230" t="n"/>
      <c r="D111" s="230" t="n"/>
      <c r="E111" s="230" t="n"/>
      <c r="F111" s="230" t="n"/>
      <c r="G111" s="230" t="n"/>
      <c r="H111" s="230" t="n"/>
      <c r="I111" s="230" t="n"/>
      <c r="J111" s="230" t="n"/>
      <c r="K111" s="230" t="n"/>
      <c r="L111" s="230" t="n"/>
      <c r="M111" s="230" t="n"/>
      <c r="N111" s="230" t="n"/>
    </row>
    <row r="112">
      <c r="A112" s="230" t="n"/>
      <c r="B112" s="230" t="n"/>
      <c r="C112" s="230" t="n"/>
      <c r="D112" s="230" t="n"/>
      <c r="E112" s="230" t="n"/>
      <c r="F112" s="230" t="n"/>
      <c r="G112" s="230" t="n"/>
      <c r="H112" s="230" t="n"/>
      <c r="I112" s="230" t="n"/>
      <c r="J112" s="230" t="n"/>
      <c r="K112" s="230" t="n"/>
      <c r="L112" s="230" t="n"/>
      <c r="M112" s="230" t="n"/>
      <c r="N112" s="230" t="n"/>
    </row>
    <row r="113">
      <c r="A113" s="230" t="n"/>
      <c r="B113" s="230" t="n"/>
      <c r="C113" s="230" t="n"/>
      <c r="D113" s="230" t="n"/>
      <c r="E113" s="230" t="n"/>
      <c r="F113" s="230" t="n"/>
      <c r="G113" s="230" t="n"/>
      <c r="H113" s="230" t="n"/>
      <c r="I113" s="230" t="n"/>
      <c r="J113" s="230" t="n"/>
      <c r="K113" s="230" t="n"/>
      <c r="L113" s="230" t="n"/>
      <c r="M113" s="230" t="n"/>
      <c r="N113" s="230" t="n"/>
    </row>
    <row r="114">
      <c r="A114" s="230" t="n"/>
      <c r="B114" s="230" t="n"/>
      <c r="C114" s="230" t="n"/>
      <c r="D114" s="230" t="n"/>
      <c r="E114" s="230" t="n"/>
      <c r="F114" s="230" t="n"/>
      <c r="G114" s="230" t="n"/>
      <c r="H114" s="230" t="n"/>
      <c r="I114" s="230" t="n"/>
      <c r="J114" s="230" t="n"/>
      <c r="K114" s="230" t="n"/>
      <c r="L114" s="230" t="n"/>
      <c r="M114" s="230" t="n"/>
      <c r="N114" s="230" t="n"/>
    </row>
    <row r="115">
      <c r="A115" s="230" t="n"/>
      <c r="B115" s="230" t="n"/>
      <c r="C115" s="230" t="n"/>
      <c r="D115" s="230" t="n"/>
      <c r="E115" s="230" t="n"/>
      <c r="F115" s="230" t="n"/>
      <c r="G115" s="230" t="n"/>
      <c r="H115" s="230" t="n"/>
      <c r="I115" s="230" t="n"/>
      <c r="J115" s="230" t="n"/>
      <c r="K115" s="230" t="n"/>
      <c r="L115" s="230" t="n"/>
      <c r="M115" s="230" t="n"/>
      <c r="N115" s="230" t="n"/>
    </row>
    <row r="116">
      <c r="A116" s="230" t="n"/>
      <c r="B116" s="230" t="n"/>
      <c r="C116" s="230" t="n"/>
      <c r="D116" s="230" t="n"/>
      <c r="E116" s="230" t="n"/>
      <c r="F116" s="230" t="n"/>
      <c r="G116" s="230" t="n"/>
      <c r="H116" s="230" t="n"/>
      <c r="I116" s="230" t="n"/>
      <c r="J116" s="230" t="n"/>
      <c r="K116" s="230" t="n"/>
      <c r="L116" s="230" t="n"/>
      <c r="M116" s="230" t="n"/>
      <c r="N116" s="230" t="n"/>
    </row>
    <row r="117">
      <c r="A117" s="230" t="n"/>
      <c r="B117" s="230" t="n"/>
      <c r="C117" s="230" t="n"/>
      <c r="D117" s="230" t="n"/>
      <c r="E117" s="230" t="n"/>
      <c r="F117" s="230" t="n"/>
      <c r="G117" s="230" t="n"/>
      <c r="H117" s="230" t="n"/>
      <c r="I117" s="230" t="n"/>
      <c r="J117" s="230" t="n"/>
      <c r="K117" s="230" t="n"/>
      <c r="L117" s="230" t="n"/>
      <c r="M117" s="230" t="n"/>
      <c r="N117" s="230" t="n"/>
    </row>
    <row r="118">
      <c r="A118" s="230" t="n"/>
      <c r="B118" s="230" t="n"/>
      <c r="C118" s="230" t="n"/>
      <c r="D118" s="230" t="n"/>
      <c r="E118" s="230" t="n"/>
      <c r="F118" s="230" t="n"/>
      <c r="G118" s="230" t="n"/>
      <c r="H118" s="230" t="n"/>
      <c r="I118" s="230" t="n"/>
      <c r="J118" s="230" t="n"/>
      <c r="K118" s="230" t="n"/>
      <c r="L118" s="230" t="n"/>
      <c r="M118" s="230" t="n"/>
      <c r="N118" s="230" t="n"/>
    </row>
    <row r="119">
      <c r="A119" s="230" t="n"/>
      <c r="B119" s="230" t="n"/>
      <c r="C119" s="230" t="n"/>
      <c r="D119" s="230" t="n"/>
      <c r="E119" s="230" t="n"/>
      <c r="F119" s="230" t="n"/>
      <c r="G119" s="230" t="n"/>
      <c r="H119" s="230" t="n"/>
      <c r="I119" s="230" t="n"/>
      <c r="J119" s="230" t="n"/>
      <c r="K119" s="230" t="n"/>
      <c r="L119" s="230" t="n"/>
      <c r="M119" s="230" t="n"/>
      <c r="N119" s="230" t="n"/>
    </row>
    <row r="120">
      <c r="A120" s="230" t="n"/>
      <c r="B120" s="230" t="n"/>
      <c r="C120" s="230" t="n"/>
      <c r="D120" s="230" t="n"/>
      <c r="E120" s="230" t="n"/>
      <c r="F120" s="230" t="n"/>
      <c r="G120" s="230" t="n"/>
      <c r="H120" s="230" t="n"/>
      <c r="I120" s="230" t="n"/>
      <c r="J120" s="230" t="n"/>
      <c r="K120" s="230" t="n"/>
      <c r="L120" s="230" t="n"/>
      <c r="M120" s="230" t="n"/>
      <c r="N120" s="230" t="n"/>
    </row>
    <row r="121">
      <c r="A121" s="230" t="n"/>
      <c r="B121" s="230" t="n"/>
      <c r="C121" s="230" t="n"/>
      <c r="D121" s="230" t="n"/>
      <c r="E121" s="230" t="n"/>
      <c r="F121" s="230" t="n"/>
      <c r="G121" s="230" t="n"/>
      <c r="H121" s="230" t="n"/>
      <c r="I121" s="230" t="n"/>
      <c r="J121" s="230" t="n"/>
      <c r="K121" s="230" t="n"/>
      <c r="L121" s="230" t="n"/>
      <c r="M121" s="230" t="n"/>
      <c r="N121" s="230" t="n"/>
    </row>
    <row r="122">
      <c r="A122" s="230" t="n"/>
      <c r="B122" s="230" t="n"/>
      <c r="C122" s="230" t="n"/>
      <c r="D122" s="230" t="n"/>
      <c r="E122" s="230" t="n"/>
      <c r="F122" s="230" t="n"/>
      <c r="G122" s="230" t="n"/>
      <c r="H122" s="230" t="n"/>
      <c r="I122" s="230" t="n"/>
      <c r="J122" s="230" t="n"/>
      <c r="K122" s="230" t="n"/>
      <c r="L122" s="230" t="n"/>
      <c r="M122" s="230" t="n"/>
      <c r="N122" s="230" t="n"/>
    </row>
    <row r="123">
      <c r="A123" s="230" t="n"/>
      <c r="B123" s="230" t="n"/>
      <c r="C123" s="230" t="n"/>
      <c r="D123" s="230" t="n"/>
      <c r="E123" s="230" t="n"/>
      <c r="F123" s="230" t="n"/>
      <c r="G123" s="230" t="n"/>
      <c r="H123" s="230" t="n"/>
      <c r="I123" s="230" t="n"/>
      <c r="J123" s="230" t="n"/>
      <c r="K123" s="230" t="n"/>
      <c r="L123" s="230" t="n"/>
      <c r="M123" s="230" t="n"/>
      <c r="N123" s="230" t="n"/>
    </row>
    <row r="124">
      <c r="A124" s="230" t="n"/>
      <c r="B124" s="230" t="n"/>
      <c r="C124" s="230" t="n"/>
      <c r="D124" s="230" t="n"/>
      <c r="E124" s="230" t="n"/>
      <c r="F124" s="230" t="n"/>
      <c r="G124" s="230" t="n"/>
      <c r="H124" s="230" t="n"/>
      <c r="I124" s="230" t="n"/>
      <c r="J124" s="230" t="n"/>
      <c r="K124" s="230" t="n"/>
      <c r="L124" s="230" t="n"/>
      <c r="M124" s="230" t="n"/>
      <c r="N124" s="230" t="n"/>
    </row>
    <row r="125">
      <c r="A125" s="230" t="n"/>
      <c r="B125" s="230" t="n"/>
      <c r="C125" s="230" t="n"/>
      <c r="D125" s="230" t="n"/>
      <c r="E125" s="230" t="n"/>
      <c r="F125" s="230" t="n"/>
      <c r="G125" s="230" t="n"/>
      <c r="H125" s="230" t="n"/>
      <c r="I125" s="230" t="n"/>
      <c r="J125" s="230" t="n"/>
      <c r="K125" s="230" t="n"/>
      <c r="L125" s="230" t="n"/>
      <c r="M125" s="230" t="n"/>
      <c r="N125" s="230" t="n"/>
    </row>
    <row r="126">
      <c r="A126" s="230" t="n"/>
      <c r="B126" s="230" t="n"/>
      <c r="C126" s="230" t="n"/>
      <c r="D126" s="230" t="n"/>
      <c r="E126" s="230" t="n"/>
      <c r="F126" s="230" t="n"/>
      <c r="G126" s="230" t="n"/>
      <c r="H126" s="230" t="n"/>
      <c r="I126" s="230" t="n"/>
      <c r="J126" s="230" t="n"/>
      <c r="K126" s="230" t="n"/>
      <c r="L126" s="230" t="n"/>
      <c r="M126" s="230" t="n"/>
      <c r="N126" s="230" t="n"/>
    </row>
    <row r="127">
      <c r="A127" s="230" t="n"/>
      <c r="B127" s="230" t="n"/>
      <c r="C127" s="230" t="n"/>
      <c r="D127" s="230" t="n"/>
      <c r="E127" s="230" t="n"/>
      <c r="F127" s="230" t="n"/>
      <c r="G127" s="230" t="n"/>
      <c r="H127" s="230" t="n"/>
      <c r="I127" s="230" t="n"/>
      <c r="J127" s="230" t="n"/>
      <c r="K127" s="230" t="n"/>
      <c r="L127" s="230" t="n"/>
      <c r="M127" s="230" t="n"/>
      <c r="N127" s="230" t="n"/>
    </row>
    <row r="128">
      <c r="A128" s="230" t="n"/>
      <c r="B128" s="230" t="n"/>
      <c r="C128" s="230" t="n"/>
      <c r="D128" s="230" t="n"/>
      <c r="E128" s="230" t="n"/>
      <c r="F128" s="230" t="n"/>
      <c r="G128" s="230" t="n"/>
      <c r="H128" s="230" t="n"/>
      <c r="I128" s="230" t="n"/>
      <c r="J128" s="230" t="n"/>
      <c r="K128" s="230" t="n"/>
      <c r="L128" s="230" t="n"/>
      <c r="M128" s="230" t="n"/>
      <c r="N128" s="230" t="n"/>
    </row>
    <row r="129">
      <c r="A129" s="230" t="n"/>
      <c r="B129" s="230" t="n"/>
      <c r="C129" s="230" t="n"/>
      <c r="D129" s="230" t="n"/>
      <c r="E129" s="230" t="n"/>
      <c r="F129" s="230" t="n"/>
      <c r="G129" s="230" t="n"/>
      <c r="H129" s="230" t="n"/>
      <c r="I129" s="230" t="n"/>
      <c r="J129" s="230" t="n"/>
      <c r="K129" s="230" t="n"/>
      <c r="L129" s="230" t="n"/>
      <c r="M129" s="230" t="n"/>
      <c r="N129" s="230" t="n"/>
    </row>
    <row r="130">
      <c r="A130" s="230" t="n"/>
      <c r="B130" s="230" t="n"/>
      <c r="C130" s="230" t="n"/>
      <c r="D130" s="230" t="n"/>
      <c r="E130" s="230" t="n"/>
      <c r="F130" s="230" t="n"/>
      <c r="G130" s="230" t="n"/>
      <c r="H130" s="230" t="n"/>
      <c r="I130" s="230" t="n"/>
      <c r="J130" s="230" t="n"/>
      <c r="K130" s="230" t="n"/>
      <c r="L130" s="230" t="n"/>
      <c r="M130" s="230" t="n"/>
      <c r="N130" s="230" t="n"/>
    </row>
    <row r="131">
      <c r="A131" s="230" t="n"/>
      <c r="B131" s="230" t="n"/>
      <c r="C131" s="230" t="n"/>
      <c r="D131" s="230" t="n"/>
      <c r="E131" s="230" t="n"/>
      <c r="F131" s="230" t="n"/>
      <c r="G131" s="230" t="n"/>
      <c r="H131" s="230" t="n"/>
      <c r="I131" s="230" t="n"/>
      <c r="J131" s="230" t="n"/>
      <c r="K131" s="230" t="n"/>
      <c r="L131" s="230" t="n"/>
      <c r="M131" s="230" t="n"/>
      <c r="N131" s="230" t="n"/>
    </row>
    <row r="132">
      <c r="A132" s="230" t="n"/>
      <c r="B132" s="230" t="n"/>
      <c r="C132" s="230" t="n"/>
      <c r="D132" s="230" t="n"/>
      <c r="E132" s="230" t="n"/>
      <c r="F132" s="230" t="n"/>
      <c r="G132" s="230" t="n"/>
      <c r="H132" s="230" t="n"/>
      <c r="I132" s="230" t="n"/>
      <c r="J132" s="230" t="n"/>
      <c r="K132" s="230" t="n"/>
      <c r="L132" s="230" t="n"/>
      <c r="M132" s="230" t="n"/>
      <c r="N132" s="230" t="n"/>
    </row>
    <row r="133">
      <c r="A133" s="230" t="n"/>
      <c r="B133" s="230" t="n"/>
      <c r="C133" s="230" t="n"/>
      <c r="D133" s="230" t="n"/>
      <c r="E133" s="230" t="n"/>
      <c r="F133" s="230" t="n"/>
      <c r="G133" s="230" t="n"/>
      <c r="H133" s="230" t="n"/>
      <c r="I133" s="230" t="n"/>
      <c r="J133" s="230" t="n"/>
      <c r="K133" s="230" t="n"/>
      <c r="L133" s="230" t="n"/>
      <c r="M133" s="230" t="n"/>
      <c r="N133" s="230" t="n"/>
    </row>
    <row r="134">
      <c r="A134" s="230" t="n"/>
      <c r="B134" s="230" t="n"/>
      <c r="C134" s="230" t="n"/>
      <c r="D134" s="230" t="n"/>
      <c r="E134" s="230" t="n"/>
      <c r="F134" s="230" t="n"/>
      <c r="G134" s="230" t="n"/>
      <c r="H134" s="230" t="n"/>
      <c r="I134" s="230" t="n"/>
      <c r="J134" s="230" t="n"/>
      <c r="K134" s="230" t="n"/>
      <c r="L134" s="230" t="n"/>
      <c r="M134" s="230" t="n"/>
      <c r="N134" s="230" t="n"/>
    </row>
    <row r="135">
      <c r="A135" s="230" t="n"/>
      <c r="B135" s="230" t="n"/>
      <c r="C135" s="230" t="n"/>
      <c r="D135" s="230" t="n"/>
      <c r="E135" s="230" t="n"/>
      <c r="F135" s="230" t="n"/>
      <c r="G135" s="230" t="n"/>
      <c r="H135" s="230" t="n"/>
      <c r="I135" s="230" t="n"/>
      <c r="J135" s="230" t="n"/>
      <c r="K135" s="230" t="n"/>
      <c r="L135" s="230" t="n"/>
      <c r="M135" s="230" t="n"/>
      <c r="N135" s="230" t="n"/>
    </row>
    <row r="136">
      <c r="A136" s="230" t="n"/>
      <c r="B136" s="230" t="n"/>
      <c r="C136" s="230" t="n"/>
      <c r="D136" s="230" t="n"/>
      <c r="E136" s="230" t="n"/>
      <c r="F136" s="230" t="n"/>
      <c r="G136" s="230" t="n"/>
      <c r="H136" s="230" t="n"/>
      <c r="I136" s="230" t="n"/>
      <c r="J136" s="230" t="n"/>
      <c r="K136" s="230" t="n"/>
      <c r="L136" s="230" t="n"/>
      <c r="M136" s="230" t="n"/>
      <c r="N136" s="230" t="n"/>
    </row>
    <row r="137">
      <c r="A137" s="230" t="n"/>
      <c r="B137" s="230" t="n"/>
      <c r="C137" s="230" t="n"/>
      <c r="D137" s="230" t="n"/>
      <c r="E137" s="230" t="n"/>
      <c r="F137" s="230" t="n"/>
      <c r="G137" s="230" t="n"/>
      <c r="H137" s="230" t="n"/>
      <c r="I137" s="230" t="n"/>
      <c r="J137" s="230" t="n"/>
      <c r="K137" s="230" t="n"/>
      <c r="L137" s="230" t="n"/>
      <c r="M137" s="230" t="n"/>
      <c r="N137" s="230" t="n"/>
    </row>
    <row r="138">
      <c r="A138" s="230" t="n"/>
      <c r="B138" s="230" t="n"/>
      <c r="C138" s="230" t="n"/>
      <c r="D138" s="230" t="n"/>
      <c r="E138" s="230" t="n"/>
      <c r="F138" s="230" t="n"/>
      <c r="G138" s="230" t="n"/>
      <c r="H138" s="230" t="n"/>
      <c r="I138" s="230" t="n"/>
      <c r="J138" s="230" t="n"/>
      <c r="K138" s="230" t="n"/>
      <c r="L138" s="230" t="n"/>
      <c r="M138" s="230" t="n"/>
      <c r="N138" s="230" t="n"/>
    </row>
    <row r="139">
      <c r="A139" s="230" t="n"/>
      <c r="B139" s="230" t="n"/>
      <c r="C139" s="230" t="n"/>
      <c r="D139" s="230" t="n"/>
      <c r="E139" s="230" t="n"/>
      <c r="F139" s="230" t="n"/>
      <c r="G139" s="230" t="n"/>
      <c r="H139" s="230" t="n"/>
      <c r="I139" s="230" t="n"/>
      <c r="J139" s="230" t="n"/>
      <c r="K139" s="230" t="n"/>
      <c r="L139" s="230" t="n"/>
      <c r="M139" s="230" t="n"/>
      <c r="N139" s="230" t="n"/>
    </row>
    <row r="140">
      <c r="A140" s="230" t="n"/>
      <c r="B140" s="230" t="n"/>
      <c r="C140" s="230" t="n"/>
      <c r="D140" s="230" t="n"/>
      <c r="E140" s="230" t="n"/>
      <c r="F140" s="230" t="n"/>
      <c r="G140" s="230" t="n"/>
      <c r="H140" s="230" t="n"/>
      <c r="I140" s="230" t="n"/>
      <c r="J140" s="230" t="n"/>
      <c r="K140" s="230" t="n"/>
      <c r="L140" s="230" t="n"/>
      <c r="M140" s="230" t="n"/>
      <c r="N140" s="230" t="n"/>
    </row>
    <row r="141">
      <c r="A141" s="230" t="n"/>
      <c r="B141" s="230" t="n"/>
      <c r="C141" s="230" t="n"/>
      <c r="D141" s="230" t="n"/>
      <c r="E141" s="230" t="n"/>
      <c r="F141" s="230" t="n"/>
      <c r="G141" s="230" t="n"/>
      <c r="H141" s="230" t="n"/>
      <c r="I141" s="230" t="n"/>
      <c r="J141" s="230" t="n"/>
      <c r="K141" s="230" t="n"/>
      <c r="L141" s="230" t="n"/>
      <c r="M141" s="230" t="n"/>
      <c r="N141" s="230" t="n"/>
    </row>
    <row r="142">
      <c r="A142" s="230" t="n"/>
      <c r="B142" s="230" t="n"/>
      <c r="C142" s="230" t="n"/>
      <c r="D142" s="230" t="n"/>
      <c r="E142" s="230" t="n"/>
      <c r="F142" s="230" t="n"/>
      <c r="G142" s="230" t="n"/>
      <c r="H142" s="230" t="n"/>
      <c r="I142" s="230" t="n"/>
      <c r="J142" s="230" t="n"/>
      <c r="K142" s="230" t="n"/>
      <c r="L142" s="230" t="n"/>
      <c r="M142" s="230" t="n"/>
      <c r="N142" s="230" t="n"/>
    </row>
    <row r="143">
      <c r="A143" s="230" t="n"/>
      <c r="B143" s="230" t="n"/>
      <c r="C143" s="230" t="n"/>
      <c r="D143" s="230" t="n"/>
      <c r="E143" s="230" t="n"/>
      <c r="F143" s="230" t="n"/>
      <c r="G143" s="230" t="n"/>
      <c r="H143" s="230" t="n"/>
      <c r="I143" s="230" t="n"/>
      <c r="J143" s="230" t="n"/>
      <c r="K143" s="230" t="n"/>
      <c r="L143" s="230" t="n"/>
      <c r="M143" s="230" t="n"/>
      <c r="N143" s="230" t="n"/>
    </row>
    <row r="144">
      <c r="A144" s="230" t="n"/>
      <c r="B144" s="230" t="n"/>
      <c r="C144" s="230" t="n"/>
      <c r="D144" s="230" t="n"/>
      <c r="E144" s="230" t="n"/>
      <c r="F144" s="230" t="n"/>
      <c r="G144" s="230" t="n"/>
      <c r="H144" s="230" t="n"/>
      <c r="I144" s="230" t="n"/>
      <c r="J144" s="230" t="n"/>
      <c r="K144" s="230" t="n"/>
      <c r="L144" s="230" t="n"/>
      <c r="M144" s="230" t="n"/>
      <c r="N144" s="230" t="n"/>
    </row>
    <row r="145">
      <c r="A145" s="230" t="n"/>
      <c r="B145" s="230" t="n"/>
      <c r="C145" s="230" t="n"/>
      <c r="D145" s="230" t="n"/>
      <c r="E145" s="230" t="n"/>
      <c r="F145" s="230" t="n"/>
      <c r="G145" s="230" t="n"/>
      <c r="H145" s="230" t="n"/>
      <c r="I145" s="230" t="n"/>
      <c r="J145" s="230" t="n"/>
      <c r="K145" s="230" t="n"/>
      <c r="L145" s="230" t="n"/>
      <c r="M145" s="230" t="n"/>
      <c r="N145" s="230" t="n"/>
    </row>
    <row r="146">
      <c r="A146" s="230" t="n"/>
      <c r="B146" s="230" t="n"/>
      <c r="C146" s="230" t="n"/>
      <c r="D146" s="230" t="n"/>
      <c r="E146" s="230" t="n"/>
      <c r="F146" s="230" t="n"/>
      <c r="G146" s="230" t="n"/>
      <c r="H146" s="230" t="n"/>
      <c r="I146" s="230" t="n"/>
      <c r="J146" s="230" t="n"/>
      <c r="K146" s="230" t="n"/>
      <c r="L146" s="230" t="n"/>
      <c r="M146" s="230" t="n"/>
      <c r="N146" s="230" t="n"/>
    </row>
    <row r="147">
      <c r="A147" s="230" t="n"/>
      <c r="B147" s="230" t="n"/>
      <c r="C147" s="230" t="n"/>
      <c r="D147" s="230" t="n"/>
      <c r="E147" s="230" t="n"/>
      <c r="F147" s="230" t="n"/>
      <c r="G147" s="230" t="n"/>
      <c r="H147" s="230" t="n"/>
      <c r="I147" s="230" t="n"/>
      <c r="J147" s="230" t="n"/>
      <c r="K147" s="230" t="n"/>
      <c r="L147" s="230" t="n"/>
      <c r="M147" s="230" t="n"/>
      <c r="N147" s="230" t="n"/>
    </row>
    <row r="148">
      <c r="A148" s="230" t="n"/>
      <c r="B148" s="230" t="n"/>
      <c r="C148" s="230" t="n"/>
      <c r="D148" s="230" t="n"/>
      <c r="E148" s="230" t="n"/>
      <c r="F148" s="230" t="n"/>
      <c r="G148" s="230" t="n"/>
      <c r="H148" s="230" t="n"/>
      <c r="I148" s="230" t="n"/>
      <c r="J148" s="230" t="n"/>
      <c r="K148" s="230" t="n"/>
      <c r="L148" s="230" t="n"/>
      <c r="M148" s="230" t="n"/>
      <c r="N148" s="230" t="n"/>
    </row>
    <row r="149">
      <c r="A149" s="230" t="n"/>
      <c r="B149" s="230" t="n"/>
      <c r="C149" s="230" t="n"/>
      <c r="D149" s="230" t="n"/>
      <c r="E149" s="230" t="n"/>
      <c r="F149" s="230" t="n"/>
      <c r="G149" s="230" t="n"/>
      <c r="H149" s="230" t="n"/>
      <c r="I149" s="230" t="n"/>
      <c r="J149" s="230" t="n"/>
      <c r="K149" s="230" t="n"/>
      <c r="L149" s="230" t="n"/>
      <c r="M149" s="230" t="n"/>
      <c r="N149" s="230" t="n"/>
    </row>
    <row r="150">
      <c r="A150" s="230" t="n"/>
      <c r="B150" s="230" t="n"/>
      <c r="C150" s="230" t="n"/>
      <c r="D150" s="230" t="n"/>
      <c r="E150" s="230" t="n"/>
      <c r="F150" s="230" t="n"/>
      <c r="G150" s="230" t="n"/>
      <c r="H150" s="230" t="n"/>
      <c r="I150" s="230" t="n"/>
      <c r="J150" s="230" t="n"/>
      <c r="K150" s="230" t="n"/>
      <c r="L150" s="230" t="n"/>
      <c r="M150" s="230" t="n"/>
      <c r="N150" s="230" t="n"/>
    </row>
    <row r="151">
      <c r="A151" s="230" t="n"/>
      <c r="B151" s="230" t="n"/>
      <c r="C151" s="230" t="n"/>
      <c r="D151" s="230" t="n"/>
      <c r="E151" s="230" t="n"/>
      <c r="F151" s="230" t="n"/>
      <c r="G151" s="230" t="n"/>
      <c r="H151" s="230" t="n"/>
      <c r="I151" s="230" t="n"/>
      <c r="J151" s="230" t="n"/>
      <c r="K151" s="230" t="n"/>
      <c r="L151" s="230" t="n"/>
      <c r="M151" s="230" t="n"/>
      <c r="N151" s="230" t="n"/>
    </row>
    <row r="152">
      <c r="A152" s="230" t="n"/>
      <c r="B152" s="230" t="n"/>
      <c r="C152" s="230" t="n"/>
      <c r="D152" s="230" t="n"/>
      <c r="E152" s="230" t="n"/>
      <c r="F152" s="230" t="n"/>
      <c r="G152" s="230" t="n"/>
      <c r="H152" s="230" t="n"/>
      <c r="I152" s="230" t="n"/>
      <c r="J152" s="230" t="n"/>
      <c r="K152" s="230" t="n"/>
      <c r="L152" s="230" t="n"/>
      <c r="M152" s="230" t="n"/>
      <c r="N152" s="230" t="n"/>
    </row>
    <row r="153">
      <c r="A153" s="230" t="n"/>
      <c r="B153" s="230" t="n"/>
      <c r="C153" s="230" t="n"/>
      <c r="D153" s="230" t="n"/>
      <c r="E153" s="230" t="n"/>
      <c r="F153" s="230" t="n"/>
      <c r="G153" s="230" t="n"/>
      <c r="H153" s="230" t="n"/>
      <c r="I153" s="230" t="n"/>
      <c r="J153" s="230" t="n"/>
      <c r="K153" s="230" t="n"/>
      <c r="L153" s="230" t="n"/>
      <c r="M153" s="230" t="n"/>
      <c r="N153" s="230" t="n"/>
    </row>
    <row r="154">
      <c r="A154" s="230" t="n"/>
      <c r="B154" s="230" t="n"/>
      <c r="C154" s="230" t="n"/>
      <c r="D154" s="230" t="n"/>
      <c r="E154" s="230" t="n"/>
      <c r="F154" s="230" t="n"/>
      <c r="G154" s="230" t="n"/>
      <c r="H154" s="230" t="n"/>
      <c r="I154" s="230" t="n"/>
      <c r="J154" s="230" t="n"/>
      <c r="K154" s="230" t="n"/>
      <c r="L154" s="230" t="n"/>
      <c r="M154" s="230" t="n"/>
      <c r="N154" s="230" t="n"/>
    </row>
    <row r="155">
      <c r="A155" s="230" t="n"/>
      <c r="B155" s="230" t="n"/>
      <c r="C155" s="230" t="n"/>
      <c r="D155" s="230" t="n"/>
      <c r="E155" s="230" t="n"/>
      <c r="F155" s="230" t="n"/>
      <c r="G155" s="230" t="n"/>
      <c r="H155" s="230" t="n"/>
      <c r="I155" s="230" t="n"/>
      <c r="J155" s="230" t="n"/>
      <c r="K155" s="230" t="n"/>
      <c r="L155" s="230" t="n"/>
      <c r="M155" s="230" t="n"/>
      <c r="N155" s="230" t="n"/>
    </row>
    <row r="156">
      <c r="A156" s="230" t="n"/>
      <c r="B156" s="230" t="n"/>
      <c r="C156" s="230" t="n"/>
      <c r="D156" s="230" t="n"/>
      <c r="E156" s="230" t="n"/>
      <c r="F156" s="230" t="n"/>
      <c r="G156" s="230" t="n"/>
      <c r="H156" s="230" t="n"/>
      <c r="I156" s="230" t="n"/>
      <c r="J156" s="230" t="n"/>
      <c r="K156" s="230" t="n"/>
      <c r="L156" s="230" t="n"/>
      <c r="M156" s="230" t="n"/>
      <c r="N156" s="230" t="n"/>
    </row>
    <row r="157">
      <c r="A157" s="230" t="n"/>
      <c r="B157" s="230" t="n"/>
      <c r="C157" s="230" t="n"/>
      <c r="D157" s="230" t="n"/>
      <c r="E157" s="230" t="n"/>
      <c r="F157" s="230" t="n"/>
      <c r="G157" s="230" t="n"/>
      <c r="H157" s="230" t="n"/>
      <c r="I157" s="230" t="n"/>
      <c r="J157" s="230" t="n"/>
      <c r="K157" s="230" t="n"/>
      <c r="L157" s="230" t="n"/>
      <c r="M157" s="230" t="n"/>
      <c r="N157" s="230" t="n"/>
    </row>
    <row r="158">
      <c r="A158" s="230" t="n"/>
      <c r="B158" s="230" t="n"/>
      <c r="C158" s="230" t="n"/>
      <c r="D158" s="230" t="n"/>
      <c r="E158" s="230" t="n"/>
      <c r="F158" s="230" t="n"/>
      <c r="G158" s="230" t="n"/>
      <c r="H158" s="230" t="n"/>
      <c r="I158" s="230" t="n"/>
      <c r="J158" s="230" t="n"/>
      <c r="K158" s="230" t="n"/>
      <c r="L158" s="230" t="n"/>
      <c r="M158" s="230" t="n"/>
      <c r="N158" s="230" t="n"/>
    </row>
    <row r="159">
      <c r="A159" s="230" t="n"/>
      <c r="B159" s="230" t="n"/>
      <c r="C159" s="230" t="n"/>
      <c r="D159" s="230" t="n"/>
      <c r="E159" s="230" t="n"/>
      <c r="F159" s="230" t="n"/>
      <c r="G159" s="230" t="n"/>
      <c r="H159" s="230" t="n"/>
      <c r="I159" s="230" t="n"/>
      <c r="J159" s="230" t="n"/>
      <c r="K159" s="230" t="n"/>
      <c r="L159" s="230" t="n"/>
      <c r="M159" s="230" t="n"/>
      <c r="N159" s="230" t="n"/>
    </row>
    <row r="160">
      <c r="A160" s="230" t="n"/>
      <c r="B160" s="230" t="n"/>
      <c r="C160" s="230" t="n"/>
      <c r="D160" s="230" t="n"/>
      <c r="E160" s="230" t="n"/>
      <c r="F160" s="230" t="n"/>
      <c r="G160" s="230" t="n"/>
      <c r="H160" s="230" t="n"/>
      <c r="I160" s="230" t="n"/>
      <c r="J160" s="230" t="n"/>
      <c r="K160" s="230" t="n"/>
      <c r="L160" s="230" t="n"/>
      <c r="M160" s="230" t="n"/>
      <c r="N160" s="230" t="n"/>
    </row>
    <row r="161">
      <c r="A161" s="230" t="n"/>
      <c r="B161" s="230" t="n"/>
      <c r="C161" s="230" t="n"/>
      <c r="D161" s="230" t="n"/>
      <c r="E161" s="230" t="n"/>
      <c r="F161" s="230" t="n"/>
      <c r="G161" s="230" t="n"/>
      <c r="H161" s="230" t="n"/>
      <c r="I161" s="230" t="n"/>
      <c r="J161" s="230" t="n"/>
      <c r="K161" s="230" t="n"/>
      <c r="L161" s="230" t="n"/>
      <c r="M161" s="230" t="n"/>
      <c r="N161" s="230" t="n"/>
    </row>
    <row r="162">
      <c r="A162" s="230" t="n"/>
      <c r="B162" s="230" t="n"/>
      <c r="C162" s="230" t="n"/>
      <c r="D162" s="230" t="n"/>
      <c r="E162" s="230" t="n"/>
      <c r="F162" s="230" t="n"/>
      <c r="G162" s="230" t="n"/>
      <c r="H162" s="230" t="n"/>
      <c r="I162" s="230" t="n"/>
      <c r="J162" s="230" t="n"/>
      <c r="K162" s="230" t="n"/>
      <c r="L162" s="230" t="n"/>
      <c r="M162" s="230" t="n"/>
      <c r="N162" s="230" t="n"/>
    </row>
    <row r="163">
      <c r="A163" s="230" t="n"/>
      <c r="B163" s="230" t="n"/>
      <c r="C163" s="230" t="n"/>
      <c r="D163" s="230" t="n"/>
      <c r="E163" s="230" t="n"/>
      <c r="F163" s="230" t="n"/>
      <c r="G163" s="230" t="n"/>
      <c r="H163" s="230" t="n"/>
      <c r="I163" s="230" t="n"/>
      <c r="J163" s="230" t="n"/>
      <c r="K163" s="230" t="n"/>
      <c r="L163" s="230" t="n"/>
      <c r="M163" s="230" t="n"/>
      <c r="N163" s="230" t="n"/>
    </row>
    <row r="164">
      <c r="A164" s="230" t="n"/>
      <c r="B164" s="230" t="n"/>
      <c r="C164" s="230" t="n"/>
      <c r="D164" s="230" t="n"/>
      <c r="E164" s="230" t="n"/>
      <c r="F164" s="230" t="n"/>
      <c r="G164" s="230" t="n"/>
      <c r="H164" s="230" t="n"/>
      <c r="I164" s="230" t="n"/>
      <c r="J164" s="230" t="n"/>
      <c r="K164" s="230" t="n"/>
      <c r="L164" s="230" t="n"/>
      <c r="M164" s="230" t="n"/>
      <c r="N164" s="230" t="n"/>
    </row>
    <row r="165">
      <c r="A165" s="230" t="n"/>
      <c r="B165" s="230" t="n"/>
      <c r="C165" s="230" t="n"/>
      <c r="D165" s="230" t="n"/>
      <c r="E165" s="230" t="n"/>
      <c r="F165" s="230" t="n"/>
      <c r="G165" s="230" t="n"/>
      <c r="H165" s="230" t="n"/>
      <c r="I165" s="230" t="n"/>
      <c r="J165" s="230" t="n"/>
      <c r="K165" s="230" t="n"/>
      <c r="L165" s="230" t="n"/>
      <c r="M165" s="230" t="n"/>
      <c r="N165" s="230" t="n"/>
    </row>
    <row r="166">
      <c r="A166" s="230" t="n"/>
      <c r="B166" s="230" t="n"/>
      <c r="C166" s="230" t="n"/>
      <c r="D166" s="230" t="n"/>
      <c r="E166" s="230" t="n"/>
      <c r="F166" s="230" t="n"/>
      <c r="G166" s="230" t="n"/>
      <c r="H166" s="230" t="n"/>
      <c r="I166" s="230" t="n"/>
      <c r="J166" s="230" t="n"/>
      <c r="K166" s="230" t="n"/>
      <c r="L166" s="230" t="n"/>
      <c r="M166" s="230" t="n"/>
      <c r="N166" s="230" t="n"/>
    </row>
    <row r="167">
      <c r="A167" s="230" t="n"/>
      <c r="B167" s="230" t="n"/>
      <c r="C167" s="230" t="n"/>
      <c r="D167" s="230" t="n"/>
      <c r="E167" s="230" t="n"/>
      <c r="F167" s="230" t="n"/>
      <c r="G167" s="230" t="n"/>
      <c r="H167" s="230" t="n"/>
      <c r="I167" s="230" t="n"/>
      <c r="J167" s="230" t="n"/>
      <c r="K167" s="230" t="n"/>
      <c r="L167" s="230" t="n"/>
      <c r="M167" s="230" t="n"/>
      <c r="N167" s="230" t="n"/>
    </row>
    <row r="168">
      <c r="A168" s="230" t="n"/>
      <c r="B168" s="230" t="n"/>
      <c r="C168" s="230" t="n"/>
      <c r="D168" s="230" t="n"/>
      <c r="E168" s="230" t="n"/>
      <c r="F168" s="230" t="n"/>
      <c r="G168" s="230" t="n"/>
      <c r="H168" s="230" t="n"/>
      <c r="I168" s="230" t="n"/>
      <c r="J168" s="230" t="n"/>
      <c r="K168" s="230" t="n"/>
      <c r="L168" s="230" t="n"/>
      <c r="M168" s="230" t="n"/>
      <c r="N168" s="230" t="n"/>
    </row>
    <row r="169">
      <c r="A169" s="230" t="n"/>
      <c r="B169" s="230" t="n"/>
      <c r="C169" s="230" t="n"/>
      <c r="D169" s="230" t="n"/>
      <c r="E169" s="230" t="n"/>
      <c r="F169" s="230" t="n"/>
      <c r="G169" s="230" t="n"/>
      <c r="H169" s="230" t="n"/>
      <c r="I169" s="230" t="n"/>
      <c r="J169" s="230" t="n"/>
      <c r="K169" s="230" t="n"/>
      <c r="L169" s="230" t="n"/>
      <c r="M169" s="230" t="n"/>
      <c r="N169" s="230" t="n"/>
    </row>
    <row r="170">
      <c r="A170" s="230" t="n"/>
      <c r="B170" s="230" t="n"/>
      <c r="C170" s="230" t="n"/>
      <c r="D170" s="230" t="n"/>
      <c r="E170" s="230" t="n"/>
      <c r="F170" s="230" t="n"/>
      <c r="G170" s="230" t="n"/>
      <c r="H170" s="230" t="n"/>
      <c r="I170" s="230" t="n"/>
      <c r="J170" s="230" t="n"/>
      <c r="K170" s="230" t="n"/>
      <c r="L170" s="230" t="n"/>
      <c r="M170" s="230" t="n"/>
      <c r="N170" s="230" t="n"/>
    </row>
    <row r="171">
      <c r="A171" s="230" t="n"/>
      <c r="B171" s="230" t="n"/>
      <c r="C171" s="230" t="n"/>
      <c r="D171" s="230" t="n"/>
      <c r="E171" s="230" t="n"/>
      <c r="F171" s="230" t="n"/>
      <c r="G171" s="230" t="n"/>
      <c r="H171" s="230" t="n"/>
      <c r="I171" s="230" t="n"/>
      <c r="J171" s="230" t="n"/>
      <c r="K171" s="230" t="n"/>
      <c r="L171" s="230" t="n"/>
      <c r="M171" s="230" t="n"/>
      <c r="N171" s="230" t="n"/>
    </row>
    <row r="172">
      <c r="A172" s="230" t="n"/>
      <c r="B172" s="230" t="n"/>
      <c r="C172" s="230" t="n"/>
      <c r="D172" s="230" t="n"/>
      <c r="E172" s="230" t="n"/>
      <c r="F172" s="230" t="n"/>
      <c r="G172" s="230" t="n"/>
      <c r="H172" s="230" t="n"/>
      <c r="I172" s="230" t="n"/>
      <c r="J172" s="230" t="n"/>
      <c r="K172" s="230" t="n"/>
      <c r="L172" s="230" t="n"/>
      <c r="M172" s="230" t="n"/>
      <c r="N172" s="230" t="n"/>
    </row>
    <row r="173">
      <c r="A173" s="230" t="n"/>
      <c r="B173" s="230" t="n"/>
      <c r="C173" s="230" t="n"/>
      <c r="D173" s="230" t="n"/>
      <c r="E173" s="230" t="n"/>
      <c r="F173" s="230" t="n"/>
      <c r="G173" s="230" t="n"/>
      <c r="H173" s="230" t="n"/>
      <c r="I173" s="230" t="n"/>
      <c r="J173" s="230" t="n"/>
      <c r="K173" s="230" t="n"/>
      <c r="L173" s="230" t="n"/>
      <c r="M173" s="230" t="n"/>
      <c r="N173" s="230" t="n"/>
    </row>
    <row r="174">
      <c r="A174" s="230" t="n"/>
      <c r="B174" s="230" t="n"/>
      <c r="C174" s="230" t="n"/>
      <c r="D174" s="230" t="n"/>
      <c r="E174" s="230" t="n"/>
      <c r="F174" s="230" t="n"/>
      <c r="G174" s="230" t="n"/>
      <c r="H174" s="230" t="n"/>
      <c r="I174" s="230" t="n"/>
      <c r="J174" s="230" t="n"/>
      <c r="K174" s="230" t="n"/>
      <c r="L174" s="230" t="n"/>
      <c r="M174" s="230" t="n"/>
      <c r="N174" s="230" t="n"/>
    </row>
    <row r="175">
      <c r="A175" s="230" t="n"/>
      <c r="B175" s="230" t="n"/>
      <c r="C175" s="230" t="n"/>
      <c r="D175" s="230" t="n"/>
      <c r="E175" s="230" t="n"/>
      <c r="F175" s="230" t="n"/>
      <c r="G175" s="230" t="n"/>
      <c r="H175" s="230" t="n"/>
      <c r="I175" s="230" t="n"/>
      <c r="J175" s="230" t="n"/>
      <c r="K175" s="230" t="n"/>
      <c r="L175" s="230" t="n"/>
      <c r="M175" s="230" t="n"/>
      <c r="N175" s="230" t="n"/>
    </row>
    <row r="176">
      <c r="A176" s="230" t="n"/>
      <c r="B176" s="230" t="n"/>
      <c r="C176" s="230" t="n"/>
      <c r="D176" s="230" t="n"/>
      <c r="E176" s="230" t="n"/>
      <c r="F176" s="230" t="n"/>
      <c r="G176" s="230" t="n"/>
      <c r="H176" s="230" t="n"/>
      <c r="I176" s="230" t="n"/>
      <c r="J176" s="230" t="n"/>
      <c r="K176" s="230" t="n"/>
      <c r="L176" s="230" t="n"/>
      <c r="M176" s="230" t="n"/>
      <c r="N176" s="230" t="n"/>
    </row>
    <row r="177">
      <c r="A177" s="230" t="n"/>
      <c r="B177" s="230" t="n"/>
      <c r="C177" s="230" t="n"/>
      <c r="D177" s="230" t="n"/>
      <c r="E177" s="230" t="n"/>
      <c r="F177" s="230" t="n"/>
      <c r="G177" s="230" t="n"/>
      <c r="H177" s="230" t="n"/>
      <c r="I177" s="230" t="n"/>
      <c r="J177" s="230" t="n"/>
      <c r="K177" s="230" t="n"/>
      <c r="L177" s="230" t="n"/>
      <c r="M177" s="230" t="n"/>
      <c r="N177" s="230" t="n"/>
    </row>
    <row r="178">
      <c r="A178" s="230" t="n"/>
      <c r="B178" s="230" t="n"/>
      <c r="C178" s="230" t="n"/>
      <c r="D178" s="230" t="n"/>
      <c r="E178" s="230" t="n"/>
      <c r="F178" s="230" t="n"/>
      <c r="G178" s="230" t="n"/>
      <c r="H178" s="230" t="n"/>
      <c r="I178" s="230" t="n"/>
      <c r="J178" s="230" t="n"/>
      <c r="K178" s="230" t="n"/>
      <c r="L178" s="230" t="n"/>
      <c r="M178" s="230" t="n"/>
      <c r="N178" s="230" t="n"/>
    </row>
    <row r="179">
      <c r="A179" s="230" t="n"/>
      <c r="B179" s="230" t="n"/>
      <c r="C179" s="230" t="n"/>
      <c r="D179" s="230" t="n"/>
      <c r="E179" s="230" t="n"/>
      <c r="F179" s="230" t="n"/>
      <c r="G179" s="230" t="n"/>
      <c r="H179" s="230" t="n"/>
      <c r="I179" s="230" t="n"/>
      <c r="J179" s="230" t="n"/>
      <c r="K179" s="230" t="n"/>
      <c r="L179" s="230" t="n"/>
      <c r="M179" s="230" t="n"/>
      <c r="N179" s="230" t="n"/>
    </row>
    <row r="180">
      <c r="A180" s="230" t="n"/>
      <c r="B180" s="230" t="n"/>
      <c r="C180" s="230" t="n"/>
      <c r="D180" s="230" t="n"/>
      <c r="E180" s="230" t="n"/>
      <c r="F180" s="230" t="n"/>
      <c r="G180" s="230" t="n"/>
      <c r="H180" s="230" t="n"/>
      <c r="I180" s="230" t="n"/>
      <c r="J180" s="230" t="n"/>
      <c r="K180" s="230" t="n"/>
      <c r="L180" s="230" t="n"/>
      <c r="M180" s="230" t="n"/>
      <c r="N180" s="230" t="n"/>
    </row>
    <row r="181">
      <c r="A181" s="230" t="n"/>
      <c r="B181" s="230" t="n"/>
      <c r="C181" s="230" t="n"/>
      <c r="D181" s="230" t="n"/>
      <c r="E181" s="230" t="n"/>
      <c r="F181" s="230" t="n"/>
      <c r="G181" s="230" t="n"/>
      <c r="H181" s="230" t="n"/>
      <c r="I181" s="230" t="n"/>
      <c r="J181" s="230" t="n"/>
      <c r="K181" s="230" t="n"/>
      <c r="L181" s="230" t="n"/>
      <c r="M181" s="230" t="n"/>
      <c r="N181" s="230" t="n"/>
    </row>
    <row r="182">
      <c r="A182" s="230" t="n"/>
      <c r="B182" s="230" t="n"/>
      <c r="C182" s="230" t="n"/>
      <c r="D182" s="230" t="n"/>
      <c r="E182" s="230" t="n"/>
      <c r="F182" s="230" t="n"/>
      <c r="G182" s="230" t="n"/>
      <c r="H182" s="230" t="n"/>
      <c r="I182" s="230" t="n"/>
      <c r="J182" s="230" t="n"/>
      <c r="K182" s="230" t="n"/>
      <c r="L182" s="230" t="n"/>
      <c r="M182" s="230" t="n"/>
      <c r="N182" s="230" t="n"/>
    </row>
    <row r="183">
      <c r="A183" s="230" t="n"/>
      <c r="B183" s="230" t="n"/>
      <c r="C183" s="230" t="n"/>
      <c r="D183" s="230" t="n"/>
      <c r="E183" s="230" t="n"/>
      <c r="F183" s="230" t="n"/>
      <c r="G183" s="230" t="n"/>
      <c r="H183" s="230" t="n"/>
      <c r="I183" s="230" t="n"/>
      <c r="J183" s="230" t="n"/>
      <c r="K183" s="230" t="n"/>
      <c r="L183" s="230" t="n"/>
      <c r="M183" s="230" t="n"/>
      <c r="N183" s="230" t="n"/>
    </row>
    <row r="184">
      <c r="A184" s="230" t="n"/>
      <c r="B184" s="230" t="n"/>
      <c r="C184" s="230" t="n"/>
      <c r="D184" s="230" t="n"/>
      <c r="E184" s="230" t="n"/>
      <c r="F184" s="230" t="n"/>
      <c r="G184" s="230" t="n"/>
      <c r="H184" s="230" t="n"/>
      <c r="I184" s="230" t="n"/>
      <c r="J184" s="230" t="n"/>
      <c r="K184" s="230" t="n"/>
      <c r="L184" s="230" t="n"/>
      <c r="M184" s="230" t="n"/>
      <c r="N184" s="230" t="n"/>
    </row>
    <row r="185">
      <c r="A185" s="230" t="n"/>
      <c r="B185" s="230" t="n"/>
      <c r="C185" s="230" t="n"/>
      <c r="D185" s="230" t="n"/>
      <c r="E185" s="230" t="n"/>
      <c r="F185" s="230" t="n"/>
      <c r="G185" s="230" t="n"/>
      <c r="H185" s="230" t="n"/>
      <c r="I185" s="230" t="n"/>
      <c r="J185" s="230" t="n"/>
      <c r="K185" s="230" t="n"/>
      <c r="L185" s="230" t="n"/>
      <c r="M185" s="230" t="n"/>
      <c r="N185" s="230" t="n"/>
    </row>
    <row r="186">
      <c r="A186" s="230" t="n"/>
      <c r="B186" s="230" t="n"/>
      <c r="C186" s="230" t="n"/>
      <c r="D186" s="230" t="n"/>
      <c r="E186" s="230" t="n"/>
      <c r="F186" s="230" t="n"/>
      <c r="G186" s="230" t="n"/>
      <c r="H186" s="230" t="n"/>
      <c r="I186" s="230" t="n"/>
      <c r="J186" s="230" t="n"/>
      <c r="K186" s="230" t="n"/>
      <c r="L186" s="230" t="n"/>
      <c r="M186" s="230" t="n"/>
      <c r="N186" s="230" t="n"/>
    </row>
    <row r="187">
      <c r="A187" s="230" t="n"/>
      <c r="B187" s="230" t="n"/>
      <c r="C187" s="230" t="n"/>
      <c r="D187" s="230" t="n"/>
      <c r="E187" s="230" t="n"/>
      <c r="F187" s="230" t="n"/>
      <c r="G187" s="230" t="n"/>
      <c r="H187" s="230" t="n"/>
      <c r="I187" s="230" t="n"/>
      <c r="J187" s="230" t="n"/>
      <c r="K187" s="230" t="n"/>
      <c r="L187" s="230" t="n"/>
      <c r="M187" s="230" t="n"/>
      <c r="N187" s="230" t="n"/>
    </row>
    <row r="188">
      <c r="A188" s="230" t="n"/>
      <c r="B188" s="230" t="n"/>
      <c r="C188" s="230" t="n"/>
      <c r="D188" s="230" t="n"/>
      <c r="E188" s="230" t="n"/>
      <c r="F188" s="230" t="n"/>
      <c r="G188" s="230" t="n"/>
      <c r="H188" s="230" t="n"/>
      <c r="I188" s="230" t="n"/>
      <c r="J188" s="230" t="n"/>
      <c r="K188" s="230" t="n"/>
      <c r="L188" s="230" t="n"/>
      <c r="M188" s="230" t="n"/>
      <c r="N188" s="230" t="n"/>
    </row>
    <row r="189">
      <c r="A189" s="230" t="n"/>
      <c r="B189" s="230" t="n"/>
      <c r="C189" s="230" t="n"/>
      <c r="D189" s="230" t="n"/>
      <c r="E189" s="230" t="n"/>
      <c r="F189" s="230" t="n"/>
      <c r="G189" s="230" t="n"/>
      <c r="H189" s="230" t="n"/>
      <c r="I189" s="230" t="n"/>
      <c r="J189" s="230" t="n"/>
      <c r="K189" s="230" t="n"/>
      <c r="L189" s="230" t="n"/>
      <c r="M189" s="230" t="n"/>
      <c r="N189" s="230" t="n"/>
    </row>
    <row r="190">
      <c r="A190" s="230" t="n"/>
      <c r="B190" s="230" t="n"/>
      <c r="C190" s="230" t="n"/>
      <c r="D190" s="230" t="n"/>
      <c r="E190" s="230" t="n"/>
      <c r="F190" s="230" t="n"/>
      <c r="G190" s="230" t="n"/>
      <c r="H190" s="230" t="n"/>
      <c r="I190" s="230" t="n"/>
      <c r="J190" s="230" t="n"/>
      <c r="K190" s="230" t="n"/>
      <c r="L190" s="230" t="n"/>
      <c r="M190" s="230" t="n"/>
      <c r="N190" s="230" t="n"/>
    </row>
    <row r="191">
      <c r="A191" s="230" t="n"/>
      <c r="B191" s="230" t="n"/>
      <c r="C191" s="230" t="n"/>
      <c r="D191" s="230" t="n"/>
      <c r="E191" s="230" t="n"/>
      <c r="F191" s="230" t="n"/>
      <c r="G191" s="230" t="n"/>
      <c r="H191" s="230" t="n"/>
      <c r="I191" s="230" t="n"/>
      <c r="J191" s="230" t="n"/>
      <c r="K191" s="230" t="n"/>
      <c r="L191" s="230" t="n"/>
      <c r="M191" s="230" t="n"/>
      <c r="N191" s="230" t="n"/>
    </row>
    <row r="192">
      <c r="A192" s="230" t="n"/>
      <c r="B192" s="230" t="n"/>
      <c r="C192" s="230" t="n"/>
      <c r="D192" s="230" t="n"/>
      <c r="E192" s="230" t="n"/>
      <c r="F192" s="230" t="n"/>
      <c r="G192" s="230" t="n"/>
      <c r="H192" s="230" t="n"/>
      <c r="I192" s="230" t="n"/>
      <c r="J192" s="230" t="n"/>
      <c r="K192" s="230" t="n"/>
      <c r="L192" s="230" t="n"/>
      <c r="M192" s="230" t="n"/>
      <c r="N192" s="230" t="n"/>
    </row>
    <row r="193">
      <c r="A193" s="230" t="n"/>
      <c r="B193" s="230" t="n"/>
      <c r="C193" s="230" t="n"/>
      <c r="D193" s="230" t="n"/>
      <c r="E193" s="230" t="n"/>
      <c r="F193" s="230" t="n"/>
      <c r="G193" s="230" t="n"/>
      <c r="H193" s="230" t="n"/>
      <c r="I193" s="230" t="n"/>
      <c r="J193" s="230" t="n"/>
      <c r="K193" s="230" t="n"/>
      <c r="L193" s="230" t="n"/>
      <c r="M193" s="230" t="n"/>
      <c r="N193" s="230" t="n"/>
    </row>
    <row r="194">
      <c r="A194" s="230" t="n"/>
      <c r="B194" s="230" t="n"/>
      <c r="C194" s="230" t="n"/>
      <c r="D194" s="230" t="n"/>
      <c r="E194" s="230" t="n"/>
      <c r="F194" s="230" t="n"/>
      <c r="G194" s="230" t="n"/>
      <c r="H194" s="230" t="n"/>
      <c r="I194" s="230" t="n"/>
      <c r="J194" s="230" t="n"/>
      <c r="K194" s="230" t="n"/>
      <c r="L194" s="230" t="n"/>
      <c r="M194" s="230" t="n"/>
      <c r="N194" s="230" t="n"/>
    </row>
    <row r="195">
      <c r="A195" s="230" t="n"/>
      <c r="B195" s="230" t="n"/>
      <c r="C195" s="230" t="n"/>
      <c r="D195" s="230" t="n"/>
      <c r="E195" s="230" t="n"/>
      <c r="F195" s="230" t="n"/>
      <c r="G195" s="230" t="n"/>
      <c r="H195" s="230" t="n"/>
      <c r="I195" s="230" t="n"/>
      <c r="J195" s="230" t="n"/>
      <c r="K195" s="230" t="n"/>
      <c r="L195" s="230" t="n"/>
      <c r="M195" s="230" t="n"/>
      <c r="N195" s="230" t="n"/>
    </row>
    <row r="196">
      <c r="A196" s="230" t="n"/>
      <c r="B196" s="230" t="n"/>
      <c r="C196" s="230" t="n"/>
      <c r="D196" s="230" t="n"/>
      <c r="E196" s="230" t="n"/>
      <c r="F196" s="230" t="n"/>
      <c r="G196" s="230" t="n"/>
      <c r="H196" s="230" t="n"/>
      <c r="I196" s="230" t="n"/>
      <c r="J196" s="230" t="n"/>
      <c r="K196" s="230" t="n"/>
      <c r="L196" s="230" t="n"/>
      <c r="M196" s="230" t="n"/>
      <c r="N196" s="230" t="n"/>
    </row>
    <row r="197">
      <c r="A197" s="230" t="n"/>
      <c r="B197" s="230" t="n"/>
      <c r="C197" s="230" t="n"/>
      <c r="D197" s="230" t="n"/>
      <c r="E197" s="230" t="n"/>
      <c r="F197" s="230" t="n"/>
      <c r="G197" s="230" t="n"/>
      <c r="H197" s="230" t="n"/>
      <c r="I197" s="230" t="n"/>
      <c r="J197" s="230" t="n"/>
      <c r="K197" s="230" t="n"/>
      <c r="L197" s="230" t="n"/>
      <c r="M197" s="230" t="n"/>
      <c r="N197" s="230" t="n"/>
    </row>
    <row r="198">
      <c r="A198" s="230" t="n"/>
      <c r="B198" s="230" t="n"/>
      <c r="C198" s="230" t="n"/>
      <c r="D198" s="230" t="n"/>
      <c r="E198" s="230" t="n"/>
      <c r="F198" s="230" t="n"/>
      <c r="G198" s="230" t="n"/>
      <c r="H198" s="230" t="n"/>
      <c r="I198" s="230" t="n"/>
      <c r="J198" s="230" t="n"/>
      <c r="K198" s="230" t="n"/>
      <c r="L198" s="230" t="n"/>
      <c r="M198" s="230" t="n"/>
      <c r="N198" s="230" t="n"/>
    </row>
    <row r="199">
      <c r="A199" s="230" t="n"/>
      <c r="B199" s="230" t="n"/>
      <c r="C199" s="230" t="n"/>
      <c r="D199" s="230" t="n"/>
      <c r="E199" s="230" t="n"/>
      <c r="F199" s="230" t="n"/>
      <c r="G199" s="230" t="n"/>
      <c r="H199" s="230" t="n"/>
      <c r="I199" s="230" t="n"/>
      <c r="J199" s="230" t="n"/>
      <c r="K199" s="230" t="n"/>
      <c r="L199" s="230" t="n"/>
      <c r="M199" s="230" t="n"/>
      <c r="N199" s="230" t="n"/>
    </row>
    <row r="200">
      <c r="A200" s="230" t="n"/>
      <c r="B200" s="230" t="n"/>
      <c r="C200" s="230" t="n"/>
      <c r="D200" s="230" t="n"/>
      <c r="E200" s="230" t="n"/>
      <c r="F200" s="230" t="n"/>
      <c r="G200" s="230" t="n"/>
      <c r="H200" s="230" t="n"/>
      <c r="I200" s="230" t="n"/>
      <c r="J200" s="230" t="n"/>
      <c r="K200" s="230" t="n"/>
      <c r="L200" s="230" t="n"/>
      <c r="M200" s="230" t="n"/>
      <c r="N2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0" t="inlineStr">
        <is>
          <t xml:space="preserve">  ● 紅燈總數</t>
        </is>
      </c>
      <c r="B7" s="8" t="n"/>
      <c r="C7" s="48" t="inlineStr">
        <is>
          <t xml:space="preserve">  ⚠ 黃燈總數</t>
        </is>
      </c>
      <c r="D7" s="8" t="n"/>
      <c r="E7" s="46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已破獲/已移送案件 應有破獲時間（時效完整性）</t>
        </is>
      </c>
      <c r="D25" s="152">
        <f>IFERROR(SUMPRODUCT((Tbl案件[是否破獲]="是")*(Tbl案件[破獲時間]="")),0)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IFERROR(HYPERLINK("#'案件資料庫'!F15","→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2026-05-28T09:31:23Z</dcterms:created>
  <dcterms:modified xsi:type="dcterms:W3CDTF">2026-05-28T09:34:02Z</dcterms:modified>
</cp:coreProperties>
</file>